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parto365-my.sharepoint.com/personal/victoria_oliveira_copart_com/Documents/Comparativos (relatorios)/"/>
    </mc:Choice>
  </mc:AlternateContent>
  <xr:revisionPtr revIDLastSave="2999" documentId="13_ncr:1_{2A39D541-75BD-49CF-971B-B251E240536A}" xr6:coauthVersionLast="47" xr6:coauthVersionMax="47" xr10:uidLastSave="{130286EB-F8D4-49CE-8D9C-7CAA4D8C2A40}"/>
  <bookViews>
    <workbookView xWindow="28680" yWindow="-120" windowWidth="29040" windowHeight="15720" tabRatio="500" xr2:uid="{00000000-000D-0000-FFFF-FFFF00000000}"/>
  </bookViews>
  <sheets>
    <sheet name="Entrantes e Habilitados" sheetId="1" r:id="rId1"/>
    <sheet name="Venda Direta" sheetId="3" r:id="rId2"/>
    <sheet name="Leilão - Macro" sheetId="2" r:id="rId3"/>
    <sheet name="Leilão - Sudeste" sheetId="4" r:id="rId4"/>
    <sheet name="Leilão - Sul" sheetId="8" r:id="rId5"/>
    <sheet name="Leilão - Centro Oeste" sheetId="9" r:id="rId6"/>
    <sheet name="Leilão - Norte e Nordest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E81" i="4" l="1"/>
  <c r="AD82" i="4"/>
  <c r="AD83" i="4"/>
  <c r="AD84" i="4"/>
  <c r="AD85" i="4"/>
  <c r="AD86" i="4"/>
  <c r="AD87" i="4"/>
  <c r="AD88" i="4"/>
  <c r="AD89" i="4"/>
  <c r="AD90" i="4"/>
  <c r="AD91" i="4"/>
  <c r="AC82" i="4"/>
  <c r="AC83" i="4"/>
  <c r="AC84" i="4"/>
  <c r="AC85" i="4"/>
  <c r="AC86" i="4"/>
  <c r="AC87" i="4"/>
  <c r="AC88" i="4"/>
  <c r="AC89" i="4"/>
  <c r="AC90" i="4"/>
  <c r="AC91" i="4"/>
  <c r="AD81" i="4"/>
  <c r="AC81" i="4"/>
  <c r="Z98" i="4"/>
  <c r="Y98" i="4"/>
  <c r="X98" i="4"/>
  <c r="P93" i="4"/>
  <c r="O92" i="4"/>
  <c r="O93" i="4" s="1"/>
  <c r="O91" i="4"/>
  <c r="O90" i="4"/>
  <c r="O89" i="4"/>
  <c r="AC62" i="4"/>
  <c r="AC43" i="4"/>
  <c r="AC22" i="4"/>
  <c r="AE82" i="4"/>
  <c r="AE83" i="4"/>
  <c r="AE84" i="4"/>
  <c r="AE85" i="4"/>
  <c r="AE86" i="4"/>
  <c r="AE87" i="4"/>
  <c r="AE88" i="4"/>
  <c r="AE89" i="4"/>
  <c r="AE90" i="4"/>
  <c r="AE91" i="4"/>
  <c r="AD39" i="9"/>
  <c r="AE39" i="9"/>
  <c r="AD38" i="9"/>
  <c r="AE38" i="9"/>
  <c r="AD37" i="9"/>
  <c r="AE37" i="9"/>
  <c r="AC37" i="9"/>
  <c r="AC38" i="9"/>
  <c r="AC39" i="9"/>
  <c r="AD36" i="9"/>
  <c r="AE36" i="9"/>
  <c r="AC36" i="9"/>
  <c r="AE20" i="9"/>
  <c r="AE21" i="9"/>
  <c r="AE22" i="9"/>
  <c r="AD20" i="9"/>
  <c r="AD21" i="9"/>
  <c r="AD22" i="9"/>
  <c r="AC20" i="9"/>
  <c r="AC21" i="9"/>
  <c r="AC22" i="9"/>
  <c r="AD19" i="9"/>
  <c r="AE19" i="9"/>
  <c r="AC19" i="9"/>
  <c r="AD61" i="8"/>
  <c r="AE61" i="8"/>
  <c r="AC61" i="8"/>
  <c r="AD60" i="8"/>
  <c r="AE60" i="8"/>
  <c r="AC60" i="8"/>
  <c r="AD42" i="8"/>
  <c r="AE42" i="8"/>
  <c r="AD41" i="8"/>
  <c r="AE41" i="8"/>
  <c r="AC42" i="8"/>
  <c r="AC41" i="8"/>
  <c r="AD21" i="8"/>
  <c r="AE21" i="8"/>
  <c r="AC21" i="8"/>
  <c r="AD20" i="8"/>
  <c r="AE20" i="8"/>
  <c r="AC20" i="8"/>
  <c r="AE72" i="4"/>
  <c r="AD72" i="4"/>
  <c r="AC72" i="4"/>
  <c r="AE71" i="4"/>
  <c r="AD71" i="4"/>
  <c r="AC71" i="4"/>
  <c r="AE70" i="4"/>
  <c r="AD70" i="4"/>
  <c r="AC70" i="4"/>
  <c r="AE69" i="4"/>
  <c r="AD69" i="4"/>
  <c r="AC69" i="4"/>
  <c r="AE68" i="4"/>
  <c r="AD68" i="4"/>
  <c r="AC68" i="4"/>
  <c r="AE67" i="4"/>
  <c r="AD67" i="4"/>
  <c r="AC67" i="4"/>
  <c r="AE66" i="4"/>
  <c r="AD66" i="4"/>
  <c r="AC66" i="4"/>
  <c r="AE65" i="4"/>
  <c r="AD65" i="4"/>
  <c r="AC65" i="4"/>
  <c r="AE64" i="4"/>
  <c r="AD64" i="4"/>
  <c r="AC64" i="4"/>
  <c r="AE63" i="4"/>
  <c r="AD63" i="4"/>
  <c r="AC63" i="4"/>
  <c r="AE62" i="4"/>
  <c r="AD62" i="4"/>
  <c r="AE45" i="4"/>
  <c r="AE46" i="4"/>
  <c r="AE47" i="4"/>
  <c r="AE48" i="4"/>
  <c r="AE49" i="4"/>
  <c r="AE50" i="4"/>
  <c r="AE51" i="4"/>
  <c r="AE52" i="4"/>
  <c r="AE53" i="4"/>
  <c r="AD45" i="4"/>
  <c r="AD46" i="4"/>
  <c r="AD47" i="4"/>
  <c r="AD48" i="4"/>
  <c r="AD49" i="4"/>
  <c r="AD50" i="4"/>
  <c r="AD51" i="4"/>
  <c r="AD52" i="4"/>
  <c r="AD53" i="4"/>
  <c r="AD44" i="4"/>
  <c r="AE44" i="4"/>
  <c r="AC45" i="4"/>
  <c r="AC46" i="4"/>
  <c r="AC47" i="4"/>
  <c r="AC48" i="4"/>
  <c r="AC49" i="4"/>
  <c r="AC50" i="4"/>
  <c r="AC51" i="4"/>
  <c r="AC52" i="4"/>
  <c r="AC53" i="4"/>
  <c r="AC44" i="4"/>
  <c r="AD43" i="4"/>
  <c r="AE43" i="4"/>
  <c r="AE23" i="4"/>
  <c r="AE24" i="4"/>
  <c r="AE25" i="4"/>
  <c r="AE26" i="4"/>
  <c r="AE27" i="4"/>
  <c r="AE28" i="4"/>
  <c r="AE29" i="4"/>
  <c r="AE30" i="4"/>
  <c r="AE31" i="4"/>
  <c r="AE32" i="4"/>
  <c r="AD23" i="4"/>
  <c r="AD24" i="4"/>
  <c r="AD25" i="4"/>
  <c r="AD26" i="4"/>
  <c r="AD27" i="4"/>
  <c r="AD28" i="4"/>
  <c r="AD29" i="4"/>
  <c r="AD30" i="4"/>
  <c r="AD31" i="4"/>
  <c r="AD32" i="4"/>
  <c r="AD22" i="4"/>
  <c r="AC23" i="4"/>
  <c r="AC24" i="4"/>
  <c r="AC25" i="4"/>
  <c r="AC26" i="4"/>
  <c r="AC27" i="4"/>
  <c r="AC28" i="4"/>
  <c r="AC29" i="4"/>
  <c r="AC30" i="4"/>
  <c r="AC31" i="4"/>
  <c r="AC32" i="4"/>
  <c r="AE22" i="4"/>
  <c r="K30" i="9"/>
  <c r="K32" i="9"/>
  <c r="K31" i="9"/>
  <c r="H31" i="9"/>
  <c r="H32" i="9"/>
  <c r="H30" i="9"/>
  <c r="H30" i="8"/>
  <c r="K32" i="8"/>
  <c r="K30" i="8"/>
  <c r="K31" i="8"/>
  <c r="H32" i="8"/>
  <c r="H31" i="8"/>
  <c r="W3" i="1"/>
  <c r="W19" i="1"/>
  <c r="W67" i="1"/>
  <c r="T67" i="1"/>
  <c r="W66" i="1"/>
  <c r="T66" i="1"/>
  <c r="W65" i="1"/>
  <c r="T65" i="1"/>
  <c r="W64" i="1"/>
  <c r="T64" i="1"/>
  <c r="W63" i="1"/>
  <c r="T63" i="1"/>
  <c r="W62" i="1"/>
  <c r="T62" i="1"/>
  <c r="W61" i="1"/>
  <c r="T61" i="1"/>
  <c r="W60" i="1"/>
  <c r="T60" i="1"/>
  <c r="W59" i="1"/>
  <c r="T59" i="1"/>
  <c r="W58" i="1"/>
  <c r="T58" i="1"/>
  <c r="W57" i="1"/>
  <c r="T57" i="1"/>
  <c r="Q70" i="1"/>
  <c r="M70" i="1"/>
  <c r="O59" i="1"/>
  <c r="H57" i="1"/>
  <c r="G57" i="1"/>
  <c r="I56" i="1"/>
  <c r="I55" i="1"/>
  <c r="I54" i="1"/>
  <c r="I53" i="1"/>
  <c r="I52" i="1"/>
  <c r="I51" i="1"/>
  <c r="I50" i="1"/>
  <c r="I57" i="1" s="1"/>
  <c r="N33" i="1"/>
  <c r="N34" i="1"/>
  <c r="N35" i="1"/>
  <c r="N36" i="1"/>
  <c r="N37" i="1"/>
  <c r="N38" i="1"/>
  <c r="N39" i="1"/>
  <c r="N40" i="1"/>
  <c r="N41" i="1"/>
  <c r="N31" i="1"/>
  <c r="N32" i="1"/>
  <c r="N3" i="1"/>
  <c r="P31" i="4"/>
  <c r="P30" i="4" a="1"/>
  <c r="P30" i="4" s="1"/>
  <c r="P29" i="4" a="1"/>
  <c r="P29" i="4" s="1"/>
  <c r="C22" i="2"/>
  <c r="H176" i="2"/>
  <c r="I176" i="2"/>
  <c r="G176" i="2"/>
  <c r="H175" i="2"/>
  <c r="I175" i="2"/>
  <c r="G175" i="2"/>
  <c r="D176" i="2"/>
  <c r="D175" i="2"/>
  <c r="B176" i="2"/>
  <c r="B175" i="2"/>
  <c r="A176" i="2"/>
  <c r="A175" i="2"/>
  <c r="H158" i="2"/>
  <c r="I158" i="2"/>
  <c r="G158" i="2"/>
  <c r="H157" i="2"/>
  <c r="I157" i="2"/>
  <c r="G157" i="2"/>
  <c r="D158" i="2"/>
  <c r="D157" i="2"/>
  <c r="B158" i="2"/>
  <c r="B157" i="2"/>
  <c r="A158" i="2"/>
  <c r="A157" i="2"/>
  <c r="H136" i="2"/>
  <c r="I136" i="2"/>
  <c r="G136" i="2"/>
  <c r="H135" i="2"/>
  <c r="I135" i="2"/>
  <c r="G135" i="2"/>
  <c r="D136" i="2"/>
  <c r="D135" i="2"/>
  <c r="B136" i="2"/>
  <c r="B135" i="2"/>
  <c r="A136" i="2"/>
  <c r="A135" i="2"/>
  <c r="H114" i="2"/>
  <c r="I114" i="2"/>
  <c r="G114" i="2"/>
  <c r="D114" i="2"/>
  <c r="B114" i="2"/>
  <c r="F114" i="2"/>
  <c r="A114" i="2"/>
  <c r="H94" i="2"/>
  <c r="I94" i="2"/>
  <c r="G94" i="2"/>
  <c r="D94" i="2"/>
  <c r="B94" i="2"/>
  <c r="F94" i="2"/>
  <c r="A94" i="2"/>
  <c r="T39" i="2"/>
  <c r="U39" i="2"/>
  <c r="S39" i="2"/>
  <c r="T38" i="2"/>
  <c r="U38" i="2"/>
  <c r="S38" i="2"/>
  <c r="U37" i="2"/>
  <c r="T37" i="2"/>
  <c r="S37" i="2"/>
  <c r="T36" i="2"/>
  <c r="U36" i="2"/>
  <c r="S36" i="2"/>
  <c r="T35" i="2"/>
  <c r="U35" i="2"/>
  <c r="S35" i="2"/>
  <c r="T34" i="2"/>
  <c r="U34" i="2"/>
  <c r="S34" i="2"/>
  <c r="T33" i="2"/>
  <c r="U33" i="2"/>
  <c r="S33" i="2"/>
  <c r="T32" i="2"/>
  <c r="U32" i="2"/>
  <c r="S32" i="2"/>
  <c r="S31" i="2"/>
  <c r="U31" i="2"/>
  <c r="T31" i="2"/>
  <c r="T19" i="2"/>
  <c r="U19" i="2"/>
  <c r="S19" i="2"/>
  <c r="T18" i="2"/>
  <c r="U18" i="2"/>
  <c r="S18" i="2"/>
  <c r="T17" i="2"/>
  <c r="U17" i="2"/>
  <c r="S17" i="2"/>
  <c r="U16" i="2"/>
  <c r="T16" i="2"/>
  <c r="S16" i="2"/>
  <c r="T15" i="2"/>
  <c r="U15" i="2"/>
  <c r="S15" i="2"/>
  <c r="U14" i="2"/>
  <c r="T14" i="2"/>
  <c r="S14" i="2"/>
  <c r="U13" i="2"/>
  <c r="T13" i="2"/>
  <c r="U12" i="2"/>
  <c r="T12" i="2"/>
  <c r="S13" i="2"/>
  <c r="S12" i="2"/>
  <c r="S11" i="2"/>
  <c r="P40" i="7"/>
  <c r="P41" i="7"/>
  <c r="C25" i="2"/>
  <c r="C24" i="2"/>
  <c r="C23" i="2"/>
  <c r="C21" i="2"/>
  <c r="C36" i="3"/>
  <c r="H10" i="1"/>
  <c r="G10" i="1"/>
  <c r="Z18" i="4" l="1"/>
  <c r="Y18" i="4"/>
  <c r="X18" i="4"/>
  <c r="O110" i="7"/>
  <c r="O109" i="7"/>
  <c r="O74" i="7"/>
  <c r="O73" i="7"/>
  <c r="O41" i="7"/>
  <c r="O40" i="7"/>
  <c r="O111" i="7"/>
  <c r="P7" i="7"/>
  <c r="O8" i="7"/>
  <c r="O7" i="7"/>
  <c r="O9" i="7" s="1"/>
  <c r="O7" i="9"/>
  <c r="N8" i="8"/>
  <c r="P57" i="9"/>
  <c r="O57" i="9"/>
  <c r="P40" i="9"/>
  <c r="O40" i="9"/>
  <c r="P7" i="9"/>
  <c r="P22" i="9"/>
  <c r="O22" i="9"/>
  <c r="O58" i="8"/>
  <c r="N58" i="8"/>
  <c r="O41" i="8"/>
  <c r="O23" i="8"/>
  <c r="N41" i="8"/>
  <c r="N23" i="8"/>
  <c r="O8" i="8"/>
  <c r="O7" i="4"/>
  <c r="P7" i="4"/>
  <c r="P10" i="4"/>
  <c r="O8" i="4"/>
  <c r="O9" i="4"/>
  <c r="O10" i="4"/>
  <c r="P9" i="4"/>
  <c r="P8" i="4"/>
  <c r="O75" i="7" l="1"/>
  <c r="O42" i="7"/>
  <c r="O69" i="4" l="1"/>
  <c r="O70" i="4"/>
  <c r="O71" i="4"/>
  <c r="O68" i="4"/>
  <c r="O50" i="4"/>
  <c r="O51" i="4"/>
  <c r="O52" i="4"/>
  <c r="O49" i="4"/>
  <c r="O29" i="4"/>
  <c r="O30" i="4"/>
  <c r="O31" i="4"/>
  <c r="O28" i="4"/>
  <c r="B5" i="2"/>
  <c r="O72" i="4" l="1"/>
  <c r="B6" i="2"/>
  <c r="P11" i="4"/>
  <c r="N80" i="2"/>
  <c r="M80" i="2"/>
  <c r="L80" i="2"/>
  <c r="C76" i="2"/>
  <c r="B75" i="2"/>
  <c r="B74" i="2"/>
  <c r="B73" i="2"/>
  <c r="B72" i="2"/>
  <c r="B71" i="2"/>
  <c r="H174" i="2"/>
  <c r="I174" i="2"/>
  <c r="G174" i="2"/>
  <c r="H173" i="2"/>
  <c r="I173" i="2"/>
  <c r="G173" i="2"/>
  <c r="F175" i="2"/>
  <c r="F176" i="2"/>
  <c r="D174" i="2"/>
  <c r="D173" i="2"/>
  <c r="B174" i="2"/>
  <c r="B173" i="2"/>
  <c r="A174" i="2"/>
  <c r="F174" i="2" s="1"/>
  <c r="A173" i="2"/>
  <c r="F173" i="2" s="1"/>
  <c r="H156" i="2"/>
  <c r="I156" i="2"/>
  <c r="G156" i="2"/>
  <c r="H155" i="2"/>
  <c r="I155" i="2"/>
  <c r="G155" i="2"/>
  <c r="H154" i="2"/>
  <c r="I154" i="2"/>
  <c r="G154" i="2"/>
  <c r="H153" i="2"/>
  <c r="I153" i="2"/>
  <c r="G153" i="2"/>
  <c r="D156" i="2"/>
  <c r="D155" i="2"/>
  <c r="D154" i="2"/>
  <c r="D153" i="2"/>
  <c r="B156" i="2"/>
  <c r="B155" i="2"/>
  <c r="B154" i="2"/>
  <c r="B153" i="2"/>
  <c r="F157" i="2"/>
  <c r="F158" i="2"/>
  <c r="F159" i="2"/>
  <c r="F160" i="2"/>
  <c r="A156" i="2"/>
  <c r="F156" i="2" s="1"/>
  <c r="A155" i="2"/>
  <c r="F155" i="2" s="1"/>
  <c r="A154" i="2"/>
  <c r="F154" i="2" s="1"/>
  <c r="A153" i="2"/>
  <c r="F153" i="2" s="1"/>
  <c r="H134" i="2"/>
  <c r="I134" i="2"/>
  <c r="H133" i="2"/>
  <c r="I133" i="2"/>
  <c r="G134" i="2"/>
  <c r="G133" i="2"/>
  <c r="F136" i="2"/>
  <c r="F137" i="2"/>
  <c r="F138" i="2"/>
  <c r="F139" i="2"/>
  <c r="F140" i="2"/>
  <c r="F135" i="2"/>
  <c r="D134" i="2"/>
  <c r="D133" i="2"/>
  <c r="B134" i="2"/>
  <c r="B133" i="2"/>
  <c r="A134" i="2"/>
  <c r="F134" i="2" s="1"/>
  <c r="A133" i="2"/>
  <c r="F133" i="2" s="1"/>
  <c r="I113" i="2"/>
  <c r="H113" i="2"/>
  <c r="G113" i="2"/>
  <c r="D113" i="2"/>
  <c r="B113" i="2"/>
  <c r="A113" i="2"/>
  <c r="F113" i="2" s="1"/>
  <c r="H93" i="2"/>
  <c r="I93" i="2"/>
  <c r="G93" i="2"/>
  <c r="D93" i="2"/>
  <c r="B93" i="2"/>
  <c r="A93" i="2"/>
  <c r="F93" i="2" s="1"/>
  <c r="N15" i="2"/>
  <c r="M15" i="2"/>
  <c r="L15" i="2"/>
  <c r="C9" i="2"/>
  <c r="C8" i="2"/>
  <c r="C7" i="2"/>
  <c r="C6" i="2"/>
  <c r="C5" i="2"/>
  <c r="B7" i="2"/>
  <c r="B8" i="2"/>
  <c r="B9" i="2"/>
  <c r="T11" i="2"/>
  <c r="U11" i="2"/>
  <c r="C26" i="2"/>
  <c r="B12" i="3"/>
  <c r="B9" i="3"/>
  <c r="G7" i="3"/>
  <c r="X36" i="3"/>
  <c r="W36" i="3"/>
  <c r="V36" i="3"/>
  <c r="X25" i="3"/>
  <c r="W25" i="3"/>
  <c r="V25" i="3"/>
  <c r="K17" i="8"/>
  <c r="K16" i="8"/>
  <c r="K15" i="8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20" i="7"/>
  <c r="H15" i="9"/>
  <c r="I3" i="1"/>
  <c r="E121" i="7"/>
  <c r="B121" i="7"/>
  <c r="E87" i="7"/>
  <c r="B87" i="7"/>
  <c r="E56" i="7"/>
  <c r="B56" i="7"/>
  <c r="E23" i="7"/>
  <c r="B23" i="7"/>
  <c r="X16" i="7"/>
  <c r="Y16" i="7"/>
  <c r="Z16" i="7"/>
  <c r="Z118" i="7"/>
  <c r="Y118" i="7"/>
  <c r="X118" i="7"/>
  <c r="Z82" i="7"/>
  <c r="Y82" i="7"/>
  <c r="X82" i="7"/>
  <c r="Z51" i="7"/>
  <c r="Y51" i="7"/>
  <c r="X51" i="7"/>
  <c r="Z68" i="9"/>
  <c r="Y68" i="9"/>
  <c r="X68" i="9"/>
  <c r="P60" i="9"/>
  <c r="Z50" i="9"/>
  <c r="Y50" i="9"/>
  <c r="X50" i="9"/>
  <c r="K50" i="9"/>
  <c r="H50" i="9"/>
  <c r="K49" i="9"/>
  <c r="H49" i="9"/>
  <c r="P43" i="9"/>
  <c r="O43" i="9"/>
  <c r="E43" i="9"/>
  <c r="B43" i="9"/>
  <c r="Z32" i="9"/>
  <c r="Y32" i="9"/>
  <c r="X32" i="9"/>
  <c r="P25" i="9"/>
  <c r="O25" i="9"/>
  <c r="E25" i="9"/>
  <c r="B25" i="9"/>
  <c r="K17" i="9"/>
  <c r="H17" i="9"/>
  <c r="K16" i="9"/>
  <c r="H16" i="9"/>
  <c r="Z15" i="9"/>
  <c r="Y15" i="9"/>
  <c r="X15" i="9"/>
  <c r="K15" i="9"/>
  <c r="P10" i="9"/>
  <c r="O10" i="9"/>
  <c r="E10" i="9"/>
  <c r="B10" i="9"/>
  <c r="Y67" i="8"/>
  <c r="X67" i="8"/>
  <c r="W67" i="8"/>
  <c r="O61" i="8"/>
  <c r="Y50" i="8"/>
  <c r="X50" i="8"/>
  <c r="W50" i="8"/>
  <c r="O44" i="8"/>
  <c r="Y32" i="8"/>
  <c r="X32" i="8"/>
  <c r="W32" i="8"/>
  <c r="O26" i="8"/>
  <c r="Y16" i="8"/>
  <c r="X16" i="8"/>
  <c r="W16" i="8"/>
  <c r="O11" i="8"/>
  <c r="E58" i="8"/>
  <c r="K48" i="8" s="1"/>
  <c r="B58" i="8"/>
  <c r="H48" i="8" s="1"/>
  <c r="K47" i="8"/>
  <c r="H47" i="8"/>
  <c r="K46" i="8"/>
  <c r="H46" i="8"/>
  <c r="E40" i="8"/>
  <c r="K49" i="8" s="1"/>
  <c r="B40" i="8"/>
  <c r="H49" i="8" s="1"/>
  <c r="K33" i="8"/>
  <c r="H33" i="8"/>
  <c r="E25" i="8"/>
  <c r="B25" i="8"/>
  <c r="H17" i="8"/>
  <c r="H16" i="8"/>
  <c r="H15" i="8"/>
  <c r="E10" i="8"/>
  <c r="B10" i="8"/>
  <c r="Z77" i="4"/>
  <c r="Y77" i="4"/>
  <c r="X77" i="4"/>
  <c r="P72" i="4"/>
  <c r="K60" i="4"/>
  <c r="H60" i="4"/>
  <c r="K58" i="4"/>
  <c r="H58" i="4"/>
  <c r="K57" i="4"/>
  <c r="H57" i="4"/>
  <c r="E68" i="4"/>
  <c r="K59" i="4" s="1"/>
  <c r="B68" i="4"/>
  <c r="H59" i="4" s="1"/>
  <c r="Z58" i="4"/>
  <c r="Y58" i="4"/>
  <c r="X58" i="4"/>
  <c r="P53" i="4"/>
  <c r="K41" i="4"/>
  <c r="H41" i="4"/>
  <c r="K39" i="4"/>
  <c r="H39" i="4"/>
  <c r="K38" i="4"/>
  <c r="H38" i="4"/>
  <c r="K37" i="4"/>
  <c r="H37" i="4"/>
  <c r="E51" i="4"/>
  <c r="K40" i="4" s="1"/>
  <c r="B51" i="4"/>
  <c r="H40" i="4" s="1"/>
  <c r="K19" i="4"/>
  <c r="H19" i="4"/>
  <c r="T36" i="1"/>
  <c r="Z39" i="4"/>
  <c r="Y39" i="4"/>
  <c r="X39" i="4"/>
  <c r="H18" i="4"/>
  <c r="K17" i="4"/>
  <c r="K16" i="4"/>
  <c r="H16" i="4"/>
  <c r="H17" i="4"/>
  <c r="C41" i="1"/>
  <c r="B41" i="1"/>
  <c r="L62" i="2"/>
  <c r="N62" i="2"/>
  <c r="M62" i="2"/>
  <c r="W37" i="1"/>
  <c r="E11" i="4"/>
  <c r="B11" i="4"/>
  <c r="B57" i="2"/>
  <c r="B56" i="2"/>
  <c r="B55" i="2"/>
  <c r="B54" i="2"/>
  <c r="B53" i="2"/>
  <c r="N46" i="2"/>
  <c r="M46" i="2"/>
  <c r="L46" i="2"/>
  <c r="B41" i="2"/>
  <c r="B40" i="2"/>
  <c r="B39" i="2"/>
  <c r="B38" i="2"/>
  <c r="B37" i="2"/>
  <c r="N30" i="2"/>
  <c r="M30" i="2"/>
  <c r="L30" i="2"/>
  <c r="B25" i="2"/>
  <c r="B24" i="2"/>
  <c r="B23" i="2"/>
  <c r="B22" i="2"/>
  <c r="B21" i="2"/>
  <c r="Q55" i="1"/>
  <c r="M55" i="1"/>
  <c r="W45" i="1"/>
  <c r="T45" i="1"/>
  <c r="W44" i="1"/>
  <c r="T44" i="1"/>
  <c r="O44" i="1"/>
  <c r="W43" i="1"/>
  <c r="T43" i="1"/>
  <c r="H44" i="1"/>
  <c r="G44" i="1"/>
  <c r="W42" i="1"/>
  <c r="T42" i="1"/>
  <c r="I43" i="1"/>
  <c r="W41" i="1"/>
  <c r="T41" i="1"/>
  <c r="Q41" i="1"/>
  <c r="M41" i="1"/>
  <c r="I42" i="1"/>
  <c r="W40" i="1"/>
  <c r="T40" i="1"/>
  <c r="I41" i="1"/>
  <c r="W39" i="1"/>
  <c r="T39" i="1"/>
  <c r="I40" i="1"/>
  <c r="W38" i="1"/>
  <c r="T38" i="1"/>
  <c r="I39" i="1"/>
  <c r="T37" i="1"/>
  <c r="I38" i="1"/>
  <c r="W36" i="1"/>
  <c r="I37" i="1"/>
  <c r="H33" i="1"/>
  <c r="G33" i="1"/>
  <c r="I32" i="1"/>
  <c r="O30" i="1"/>
  <c r="I31" i="1"/>
  <c r="I30" i="1"/>
  <c r="W28" i="1"/>
  <c r="T28" i="1"/>
  <c r="I29" i="1"/>
  <c r="W27" i="1"/>
  <c r="T27" i="1"/>
  <c r="Q27" i="1"/>
  <c r="M27" i="1"/>
  <c r="N17" i="1" s="1"/>
  <c r="I28" i="1"/>
  <c r="W26" i="1"/>
  <c r="T26" i="1"/>
  <c r="I27" i="1"/>
  <c r="W25" i="1"/>
  <c r="T25" i="1"/>
  <c r="I26" i="1"/>
  <c r="W24" i="1"/>
  <c r="T24" i="1"/>
  <c r="W23" i="1"/>
  <c r="T23" i="1"/>
  <c r="W22" i="1"/>
  <c r="T22" i="1"/>
  <c r="W21" i="1"/>
  <c r="T21" i="1"/>
  <c r="H22" i="1"/>
  <c r="G22" i="1"/>
  <c r="W20" i="1"/>
  <c r="T20" i="1"/>
  <c r="I21" i="1"/>
  <c r="T19" i="1"/>
  <c r="I20" i="1"/>
  <c r="I19" i="1"/>
  <c r="I18" i="1"/>
  <c r="I17" i="1"/>
  <c r="O15" i="1"/>
  <c r="I16" i="1"/>
  <c r="I15" i="1"/>
  <c r="V13" i="1"/>
  <c r="S13" i="1"/>
  <c r="Q13" i="1"/>
  <c r="R6" i="1" s="1"/>
  <c r="M13" i="1"/>
  <c r="N7" i="1" s="1"/>
  <c r="W12" i="1"/>
  <c r="V12" i="1"/>
  <c r="T12" i="1"/>
  <c r="S12" i="1"/>
  <c r="W11" i="1"/>
  <c r="V11" i="1"/>
  <c r="T11" i="1"/>
  <c r="S11" i="1"/>
  <c r="W10" i="1"/>
  <c r="V10" i="1"/>
  <c r="T10" i="1"/>
  <c r="S10" i="1"/>
  <c r="W9" i="1"/>
  <c r="V9" i="1"/>
  <c r="T9" i="1"/>
  <c r="S9" i="1"/>
  <c r="W8" i="1"/>
  <c r="V8" i="1"/>
  <c r="T8" i="1"/>
  <c r="S8" i="1"/>
  <c r="I9" i="1"/>
  <c r="W7" i="1"/>
  <c r="V7" i="1"/>
  <c r="T7" i="1"/>
  <c r="S7" i="1"/>
  <c r="I8" i="1"/>
  <c r="W6" i="1"/>
  <c r="V6" i="1"/>
  <c r="T6" i="1"/>
  <c r="S6" i="1"/>
  <c r="I7" i="1"/>
  <c r="W5" i="1"/>
  <c r="V5" i="1"/>
  <c r="T5" i="1"/>
  <c r="S5" i="1"/>
  <c r="I6" i="1"/>
  <c r="W4" i="1"/>
  <c r="V4" i="1"/>
  <c r="T4" i="1"/>
  <c r="S4" i="1"/>
  <c r="I5" i="1"/>
  <c r="V3" i="1"/>
  <c r="T3" i="1"/>
  <c r="S3" i="1"/>
  <c r="I4" i="1"/>
  <c r="S36" i="3"/>
  <c r="R36" i="3"/>
  <c r="Q36" i="3"/>
  <c r="N36" i="3"/>
  <c r="M36" i="3"/>
  <c r="L36" i="3"/>
  <c r="I36" i="3"/>
  <c r="H36" i="3"/>
  <c r="G36" i="3"/>
  <c r="D36" i="3"/>
  <c r="B36" i="3"/>
  <c r="S25" i="3"/>
  <c r="R25" i="3"/>
  <c r="Q25" i="3"/>
  <c r="N25" i="3"/>
  <c r="M25" i="3"/>
  <c r="L25" i="3"/>
  <c r="I25" i="3"/>
  <c r="H25" i="3"/>
  <c r="G25" i="3"/>
  <c r="D25" i="3"/>
  <c r="C25" i="3"/>
  <c r="B25" i="3"/>
  <c r="G6" i="3"/>
  <c r="G5" i="3"/>
  <c r="C12" i="3" s="1"/>
  <c r="H52" i="9" l="1"/>
  <c r="H33" i="9"/>
  <c r="K52" i="9"/>
  <c r="K33" i="9"/>
  <c r="K36" i="7"/>
  <c r="H18" i="8"/>
  <c r="W29" i="1"/>
  <c r="N21" i="1"/>
  <c r="N25" i="1"/>
  <c r="N26" i="1"/>
  <c r="N27" i="1"/>
  <c r="N18" i="1"/>
  <c r="N19" i="1"/>
  <c r="N20" i="1"/>
  <c r="N22" i="1"/>
  <c r="N23" i="1"/>
  <c r="N24" i="1"/>
  <c r="C9" i="3"/>
  <c r="I22" i="1"/>
  <c r="H36" i="7"/>
  <c r="H61" i="4"/>
  <c r="O53" i="4"/>
  <c r="O32" i="4"/>
  <c r="B76" i="2"/>
  <c r="N8" i="1"/>
  <c r="T13" i="1"/>
  <c r="N12" i="1"/>
  <c r="N11" i="1"/>
  <c r="N9" i="1"/>
  <c r="N10" i="1"/>
  <c r="N5" i="1"/>
  <c r="I33" i="1"/>
  <c r="K18" i="9"/>
  <c r="H18" i="9"/>
  <c r="K18" i="8"/>
  <c r="K61" i="4"/>
  <c r="W46" i="1"/>
  <c r="T29" i="1"/>
  <c r="R3" i="1"/>
  <c r="R11" i="1"/>
  <c r="R12" i="1"/>
  <c r="R8" i="1"/>
  <c r="R10" i="1"/>
  <c r="R9" i="1"/>
  <c r="R7" i="1"/>
  <c r="W13" i="1"/>
  <c r="R5" i="1"/>
  <c r="E32" i="4"/>
  <c r="K20" i="4" s="1"/>
  <c r="P32" i="4"/>
  <c r="B32" i="4"/>
  <c r="H20" i="4" s="1"/>
  <c r="K18" i="4"/>
  <c r="C10" i="2"/>
  <c r="C58" i="2"/>
  <c r="B42" i="2"/>
  <c r="C42" i="2"/>
  <c r="B26" i="2"/>
  <c r="B10" i="2"/>
  <c r="B58" i="2"/>
  <c r="T46" i="1"/>
  <c r="I44" i="1"/>
  <c r="N13" i="1"/>
  <c r="N4" i="1"/>
  <c r="R4" i="1"/>
  <c r="R13" i="1"/>
  <c r="N6" i="1"/>
  <c r="O11" i="4" l="1"/>
  <c r="I10" i="1"/>
  <c r="P42" i="7" l="1"/>
  <c r="N61" i="8"/>
  <c r="P75" i="7"/>
  <c r="N44" i="8"/>
  <c r="N11" i="8"/>
  <c r="E58" i="9"/>
  <c r="K51" i="9"/>
  <c r="H51" i="9"/>
  <c r="B58" i="9"/>
  <c r="O60" i="9"/>
  <c r="P111" i="7"/>
  <c r="N26" i="8"/>
  <c r="P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tc={8DF554ED-2D7F-460E-B1B3-16C493E34DBD}</author>
    <author>tc={12958D9D-1FB2-4830-B7B9-F0B57F0A6E96}</author>
  </authors>
  <commentList>
    <comment ref="B18" authorId="0" shapeId="0" xr:uid="{8DF554ED-2D7F-460E-B1B3-16C493E34D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Compre agora - 30 a 1</t>
      </text>
    </comment>
    <comment ref="B20" authorId="1" shapeId="0" xr:uid="{12958D9D-1FB2-4830-B7B9-F0B57F0A6E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Compre agora - 30 a 1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<sst xmlns="http://schemas.openxmlformats.org/spreadsheetml/2006/main" count="1670" uniqueCount="134">
  <si>
    <t>ENTRANTES E HABILITADOS — Diario</t>
  </si>
  <si>
    <t>ENTRANTES E HABILITADOS — SEMANA</t>
  </si>
  <si>
    <t>Entrantes por Estado</t>
  </si>
  <si>
    <t>Habilitados por Estado</t>
  </si>
  <si>
    <t>Taxa de comparação</t>
  </si>
  <si>
    <t>DATA</t>
  </si>
  <si>
    <t>Cadastros entrantes</t>
  </si>
  <si>
    <t>Habilitados totais</t>
  </si>
  <si>
    <t>Conversão</t>
  </si>
  <si>
    <t>Dia</t>
  </si>
  <si>
    <t>Entrantes</t>
  </si>
  <si>
    <t>Habilitados</t>
  </si>
  <si>
    <t>Taxa de Conversão</t>
  </si>
  <si>
    <t>Estado</t>
  </si>
  <si>
    <t>Domingo</t>
  </si>
  <si>
    <t>SP</t>
  </si>
  <si>
    <t>Segunda</t>
  </si>
  <si>
    <t>RJ</t>
  </si>
  <si>
    <t>Terça</t>
  </si>
  <si>
    <t>MG</t>
  </si>
  <si>
    <t>Quarta</t>
  </si>
  <si>
    <t>PR</t>
  </si>
  <si>
    <t>Quinta</t>
  </si>
  <si>
    <t>SC</t>
  </si>
  <si>
    <t>Sexta</t>
  </si>
  <si>
    <t>RS</t>
  </si>
  <si>
    <t>Sábado</t>
  </si>
  <si>
    <t>GO</t>
  </si>
  <si>
    <t>TOTAL SEMANA</t>
  </si>
  <si>
    <t>BA</t>
  </si>
  <si>
    <t>Outros</t>
  </si>
  <si>
    <t>Vazias</t>
  </si>
  <si>
    <t xml:space="preserve">total </t>
  </si>
  <si>
    <t>Total</t>
  </si>
  <si>
    <t xml:space="preserve">variação </t>
  </si>
  <si>
    <t>Semana 30/08 a 05/09 vs 06/09 a 12/09</t>
  </si>
  <si>
    <t>TOTAL</t>
  </si>
  <si>
    <t>VENDA DIRETA</t>
  </si>
  <si>
    <t>Leads e Vendas</t>
  </si>
  <si>
    <t>Métrica</t>
  </si>
  <si>
    <t>Semana 1</t>
  </si>
  <si>
    <t>Semana 2</t>
  </si>
  <si>
    <t>Semana 3</t>
  </si>
  <si>
    <t>Semana 4</t>
  </si>
  <si>
    <t>Semana 5</t>
  </si>
  <si>
    <t>Mês</t>
  </si>
  <si>
    <t>Leads</t>
  </si>
  <si>
    <t>Vendas</t>
  </si>
  <si>
    <t>Entradas</t>
  </si>
  <si>
    <t>Taxa de Conversão (Vendas/Leads)</t>
  </si>
  <si>
    <t>Taxa de Conversão (entradas/Leads)</t>
  </si>
  <si>
    <t>Google Analytics — Comprar - Semana 30 ago á 5 de set</t>
  </si>
  <si>
    <t>Google Analytics — Comprar - Semana 6 á 12 set</t>
  </si>
  <si>
    <t>Google Analytics — Comprar - Semana 13 a 19 de set</t>
  </si>
  <si>
    <t>Google Analytics — Comprar - Semana 20 á 26 de set</t>
  </si>
  <si>
    <t>Google Analytics — Comprar - Semana 27 set á 03 de out</t>
  </si>
  <si>
    <t>Page Views</t>
  </si>
  <si>
    <t>Active Users</t>
  </si>
  <si>
    <t>New Users</t>
  </si>
  <si>
    <t>Google Analytics — Vender -  Semana 30 ago á 5 de set</t>
  </si>
  <si>
    <t>Google Analytics — Vender -  Semana 6 á 12 set</t>
  </si>
  <si>
    <t>Google Analytics — Vender -  Semana 13 a 19 de set</t>
  </si>
  <si>
    <t>Google Analytics — Vender - Semana 20 á 26 de set</t>
  </si>
  <si>
    <t>Google Analytics — Vender -  - Semana 27 set á 03 de out</t>
  </si>
  <si>
    <t>\</t>
  </si>
  <si>
    <t>LEILÃO — SEMANA</t>
  </si>
  <si>
    <t>Semana 30/08 a 05/09</t>
  </si>
  <si>
    <t>Resumo por Categoria</t>
  </si>
  <si>
    <t>Detalhe dos Leilões</t>
  </si>
  <si>
    <t>Google Analytics — 7 dias</t>
  </si>
  <si>
    <t>Categoria</t>
  </si>
  <si>
    <t>Leilões</t>
  </si>
  <si>
    <t>Taxa de Êxito</t>
  </si>
  <si>
    <t>Nº do Leilão</t>
  </si>
  <si>
    <t>Êxito do Leilão</t>
  </si>
  <si>
    <t>Leilão</t>
  </si>
  <si>
    <t>Views</t>
  </si>
  <si>
    <t>Porto</t>
  </si>
  <si>
    <t>Goiânia</t>
  </si>
  <si>
    <t>Bradesco</t>
  </si>
  <si>
    <t>Santander</t>
  </si>
  <si>
    <t>Curitiba</t>
  </si>
  <si>
    <t xml:space="preserve">analise semanal </t>
  </si>
  <si>
    <t>Locador</t>
  </si>
  <si>
    <t>a+</t>
  </si>
  <si>
    <t>Semana 06/09 a 12/09</t>
  </si>
  <si>
    <t>Semana 06/09 a 12/09 vs 13/09 á 19/09</t>
  </si>
  <si>
    <t>Semana 13/09 á 19/09</t>
  </si>
  <si>
    <t>Semana 13/09 á 19/09 vs 20/09 á 26/09</t>
  </si>
  <si>
    <t>Semana 20/09 á 26/09</t>
  </si>
  <si>
    <t/>
  </si>
  <si>
    <t>Semana 20/09 á 26/09 vs  27/09 á 03/10</t>
  </si>
  <si>
    <t>Semana 27/09 á 03/10</t>
  </si>
  <si>
    <t>LEILÃO — GOOGLE ANALYTICS POR SEGURADORA/LOCADOR</t>
  </si>
  <si>
    <t>Nº Leilão</t>
  </si>
  <si>
    <t>Êxito</t>
  </si>
  <si>
    <t>Osasco, Itaqua, Porto e Betim</t>
  </si>
  <si>
    <t>Entrantes e Habilitados por região</t>
  </si>
  <si>
    <t>Leilões - Sudeste</t>
  </si>
  <si>
    <t>São Paulo, Rio de Janeiro, Minas Gerais, Espirito Santo</t>
  </si>
  <si>
    <t>Itaqua</t>
  </si>
  <si>
    <t>Osasco</t>
  </si>
  <si>
    <t>ES</t>
  </si>
  <si>
    <t>Betim</t>
  </si>
  <si>
    <t xml:space="preserve">Total </t>
  </si>
  <si>
    <t>Semana 06/09 a 12/09 á 13/09 a 19/09</t>
  </si>
  <si>
    <t>Semana  06/09 a 12/09  á 13/09 a 19/09</t>
  </si>
  <si>
    <t>Leilões - Sul</t>
  </si>
  <si>
    <t>Curitiba, Rio Grande do Sul e Santa Catarina</t>
  </si>
  <si>
    <t>Goiania</t>
  </si>
  <si>
    <t>Leilões - Centro Oeste</t>
  </si>
  <si>
    <t>Mato Grosso, Mato Grosso do Sul e Goiania</t>
  </si>
  <si>
    <t>MT</t>
  </si>
  <si>
    <t>MS</t>
  </si>
  <si>
    <t>Vitória de Santo Antão, Eusebio</t>
  </si>
  <si>
    <t>Leilões - Norte e Nordeste</t>
  </si>
  <si>
    <t>Nordeste: Bahia, Sergipe, Alagoas, Pernambuco, Parnaiba, Rio grande do Norte, Ceara, Piaui, Maranhão | Norte: Acre, Amazonas, Roraima, Amapa, Pará, Tocantins, Rondonia</t>
  </si>
  <si>
    <t>AC</t>
  </si>
  <si>
    <t>Vitoria de SA</t>
  </si>
  <si>
    <t>AM</t>
  </si>
  <si>
    <t>Eusebio</t>
  </si>
  <si>
    <t>RO</t>
  </si>
  <si>
    <t>RR</t>
  </si>
  <si>
    <t>PA</t>
  </si>
  <si>
    <t>AP</t>
  </si>
  <si>
    <t>TO</t>
  </si>
  <si>
    <t>MA</t>
  </si>
  <si>
    <t>PI</t>
  </si>
  <si>
    <t>CE</t>
  </si>
  <si>
    <t>SE</t>
  </si>
  <si>
    <t>AL</t>
  </si>
  <si>
    <t>PE</t>
  </si>
  <si>
    <t>PB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</si>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</sst>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"/>
    <numFmt numFmtId="165" formatCode="0.0%"/>
    <numFmt numFmtId="166" formatCode="0.0%;[Red]\-0.0%;\-"/>
    <numFmt numFmtId="167" formatCode="dd/mm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0"/>
      <color rgb="FF1F4E78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i/>
      <sz val="10"/>
      <name val="Arial"/>
      <family val="2"/>
      <charset val="1"/>
    </font>
    <font>
      <b/>
      <sz val="11"/>
      <color rgb="FF000000"/>
      <name val="Arial"/>
      <family val="2"/>
      <charset val="1"/>
    </font>
    <font>
      <i/>
      <sz val="9"/>
      <color rgb="FF7F7F7F"/>
      <name val="Arial"/>
      <family val="2"/>
      <charset val="1"/>
    </font>
    <font>
      <b/>
      <sz val="16"/>
      <name val="Calibri"/>
      <family val="2"/>
    </font>
    <font>
      <i/>
      <sz val="9"/>
      <color rgb="FF808080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1"/>
      <color rgb="FF000000"/>
      <name val="Aptos Narrow"/>
      <family val="2"/>
      <charset val="1"/>
    </font>
    <font>
      <i/>
      <sz val="11"/>
      <color theme="0"/>
      <name val="Calibri"/>
      <family val="2"/>
    </font>
    <font>
      <sz val="9"/>
      <color theme="1"/>
      <name val="Calibri"/>
      <family val="2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0"/>
      <color rgb="FF1F4E78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theme="0"/>
        <bgColor rgb="FFF9F9F9"/>
      </patternFill>
    </fill>
    <fill>
      <patternFill patternType="solid">
        <fgColor rgb="FFD9E2F3"/>
        <bgColor rgb="FFDCE6F2"/>
      </patternFill>
    </fill>
    <fill>
      <patternFill patternType="solid">
        <fgColor rgb="FFB4C6E7"/>
        <bgColor rgb="FFBDD7EE"/>
      </patternFill>
    </fill>
    <fill>
      <patternFill patternType="solid">
        <fgColor rgb="FF2E75B6"/>
        <bgColor rgb="FF4472C4"/>
      </patternFill>
    </fill>
    <fill>
      <patternFill patternType="solid">
        <fgColor rgb="FFE7E6E6"/>
        <bgColor rgb="FFDCE6F2"/>
      </patternFill>
    </fill>
    <fill>
      <patternFill patternType="solid">
        <fgColor rgb="FFD9D9D9"/>
        <bgColor rgb="FFD9E2F3"/>
      </patternFill>
    </fill>
    <fill>
      <patternFill patternType="solid">
        <fgColor rgb="FFDDEBF7"/>
        <bgColor rgb="FFDCE6F2"/>
      </patternFill>
    </fill>
    <fill>
      <patternFill patternType="solid">
        <fgColor rgb="FFBDD7EE"/>
        <bgColor rgb="FFC6D9F1"/>
      </patternFill>
    </fill>
    <fill>
      <patternFill patternType="solid">
        <fgColor theme="3" tint="0.79979857783745845"/>
        <bgColor rgb="FFBDD7EE"/>
      </patternFill>
    </fill>
    <fill>
      <patternFill patternType="solid">
        <fgColor theme="4" tint="0.79979857783745845"/>
        <bgColor rgb="FFD9E2F3"/>
      </patternFill>
    </fill>
    <fill>
      <patternFill patternType="solid">
        <fgColor rgb="FF305496"/>
        <bgColor rgb="FF1F4E78"/>
      </patternFill>
    </fill>
    <fill>
      <patternFill patternType="solid">
        <fgColor rgb="FF4472C4"/>
        <bgColor rgb="FF2E75B6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 tint="-0.14999847407452621"/>
        <bgColor rgb="FFF9F9F9"/>
      </patternFill>
    </fill>
    <fill>
      <patternFill patternType="solid">
        <fgColor theme="4" tint="0.79998168889431442"/>
        <bgColor rgb="FFF9F9F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rgb="FFF9F9F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B7B7B7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auto="1"/>
      </top>
      <bottom style="thin">
        <color auto="1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7B7B7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7B7B7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B7B7B7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indexed="64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indexed="64"/>
      </right>
      <top style="thin">
        <color rgb="FFB7B7B7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2" fillId="0" borderId="0" applyFont="0" applyFill="0" applyBorder="0" applyAlignment="0" applyProtection="0"/>
  </cellStyleXfs>
  <cellXfs count="145">
    <xf numFmtId="0" fontId="0" fillId="0" borderId="0" xfId="0"/>
    <xf numFmtId="0" fontId="2" fillId="4" borderId="2" xfId="0" applyFont="1" applyFill="1" applyBorder="1" applyAlignment="1">
      <alignment vertical="center"/>
    </xf>
    <xf numFmtId="0" fontId="2" fillId="4" borderId="0" xfId="0" applyFont="1" applyFill="1"/>
    <xf numFmtId="9" fontId="0" fillId="0" borderId="0" xfId="0" applyNumberFormat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/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9" fontId="3" fillId="5" borderId="4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/>
    </xf>
    <xf numFmtId="9" fontId="5" fillId="8" borderId="6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3" fontId="7" fillId="3" borderId="5" xfId="0" applyNumberFormat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center"/>
    </xf>
    <xf numFmtId="0" fontId="8" fillId="0" borderId="0" xfId="0" applyFont="1"/>
    <xf numFmtId="166" fontId="8" fillId="0" borderId="0" xfId="0" applyNumberFormat="1" applyFont="1"/>
    <xf numFmtId="0" fontId="5" fillId="9" borderId="6" xfId="0" applyFont="1" applyFill="1" applyBorder="1" applyAlignment="1">
      <alignment horizontal="center"/>
    </xf>
    <xf numFmtId="9" fontId="5" fillId="9" borderId="6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0" fontId="9" fillId="10" borderId="5" xfId="0" applyFont="1" applyFill="1" applyBorder="1" applyAlignment="1">
      <alignment horizontal="center"/>
    </xf>
    <xf numFmtId="3" fontId="9" fillId="10" borderId="5" xfId="0" applyNumberFormat="1" applyFont="1" applyFill="1" applyBorder="1" applyAlignment="1">
      <alignment horizontal="center"/>
    </xf>
    <xf numFmtId="9" fontId="10" fillId="11" borderId="5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9" fontId="5" fillId="3" borderId="6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11" fillId="0" borderId="0" xfId="0" applyFont="1"/>
    <xf numFmtId="166" fontId="11" fillId="0" borderId="0" xfId="0" applyNumberFormat="1" applyFont="1"/>
    <xf numFmtId="165" fontId="6" fillId="0" borderId="5" xfId="0" applyNumberFormat="1" applyFont="1" applyBorder="1" applyAlignment="1">
      <alignment horizontal="center" vertical="center"/>
    </xf>
    <xf numFmtId="9" fontId="5" fillId="12" borderId="6" xfId="0" applyNumberFormat="1" applyFont="1" applyFill="1" applyBorder="1" applyAlignment="1">
      <alignment horizontal="center"/>
    </xf>
    <xf numFmtId="3" fontId="7" fillId="0" borderId="8" xfId="0" applyNumberFormat="1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/>
    </xf>
    <xf numFmtId="0" fontId="3" fillId="7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/>
    </xf>
    <xf numFmtId="10" fontId="7" fillId="3" borderId="5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0" fontId="7" fillId="3" borderId="10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65" fontId="9" fillId="10" borderId="5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0" fontId="7" fillId="3" borderId="8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9" fillId="10" borderId="5" xfId="0" applyFont="1" applyFill="1" applyBorder="1" applyAlignment="1">
      <alignment horizontal="center" vertical="center"/>
    </xf>
    <xf numFmtId="3" fontId="9" fillId="10" borderId="5" xfId="0" applyNumberFormat="1" applyFont="1" applyFill="1" applyBorder="1" applyAlignment="1">
      <alignment horizontal="center" vertical="center"/>
    </xf>
    <xf numFmtId="0" fontId="12" fillId="0" borderId="0" xfId="0" applyFont="1"/>
    <xf numFmtId="0" fontId="2" fillId="4" borderId="2" xfId="0" applyFont="1" applyFill="1" applyBorder="1"/>
    <xf numFmtId="10" fontId="0" fillId="0" borderId="0" xfId="0" applyNumberFormat="1"/>
    <xf numFmtId="10" fontId="7" fillId="3" borderId="0" xfId="0" applyNumberFormat="1" applyFont="1" applyFill="1" applyAlignment="1">
      <alignment horizontal="center" vertical="center"/>
    </xf>
    <xf numFmtId="0" fontId="16" fillId="14" borderId="12" xfId="0" applyFont="1" applyFill="1" applyBorder="1" applyAlignment="1">
      <alignment horizontal="center"/>
    </xf>
    <xf numFmtId="0" fontId="17" fillId="0" borderId="12" xfId="0" applyFont="1" applyBorder="1" applyAlignment="1">
      <alignment horizontal="center"/>
    </xf>
    <xf numFmtId="167" fontId="17" fillId="0" borderId="12" xfId="0" applyNumberFormat="1" applyFont="1" applyBorder="1" applyAlignment="1">
      <alignment horizontal="center"/>
    </xf>
    <xf numFmtId="165" fontId="17" fillId="0" borderId="12" xfId="0" applyNumberFormat="1" applyFont="1" applyBorder="1" applyAlignment="1">
      <alignment horizontal="center"/>
    </xf>
    <xf numFmtId="3" fontId="17" fillId="0" borderId="12" xfId="0" applyNumberFormat="1" applyFont="1" applyBorder="1" applyAlignment="1">
      <alignment horizontal="center"/>
    </xf>
    <xf numFmtId="0" fontId="4" fillId="6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left" wrapText="1"/>
    </xf>
    <xf numFmtId="165" fontId="9" fillId="10" borderId="5" xfId="0" applyNumberFormat="1" applyFont="1" applyFill="1" applyBorder="1" applyAlignment="1">
      <alignment horizontal="center" vertical="center"/>
    </xf>
    <xf numFmtId="3" fontId="7" fillId="3" borderId="9" xfId="0" applyNumberFormat="1" applyFont="1" applyFill="1" applyBorder="1" applyAlignment="1">
      <alignment horizontal="center" vertical="center"/>
    </xf>
    <xf numFmtId="3" fontId="18" fillId="0" borderId="13" xfId="0" applyNumberFormat="1" applyFont="1" applyBorder="1" applyAlignment="1">
      <alignment horizontal="center"/>
    </xf>
    <xf numFmtId="0" fontId="19" fillId="15" borderId="0" xfId="0" applyFont="1" applyFill="1"/>
    <xf numFmtId="0" fontId="21" fillId="16" borderId="0" xfId="0" applyFont="1" applyFill="1" applyAlignment="1">
      <alignment horizontal="center"/>
    </xf>
    <xf numFmtId="10" fontId="7" fillId="3" borderId="14" xfId="0" applyNumberFormat="1" applyFont="1" applyFill="1" applyBorder="1" applyAlignment="1">
      <alignment horizontal="center" vertical="center"/>
    </xf>
    <xf numFmtId="0" fontId="0" fillId="0" borderId="6" xfId="0" applyBorder="1"/>
    <xf numFmtId="0" fontId="7" fillId="3" borderId="6" xfId="0" applyFont="1" applyFill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0" fontId="0" fillId="0" borderId="0" xfId="0" quotePrefix="1"/>
    <xf numFmtId="10" fontId="17" fillId="0" borderId="12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166" fontId="8" fillId="0" borderId="16" xfId="0" applyNumberFormat="1" applyFont="1" applyBorder="1"/>
    <xf numFmtId="0" fontId="6" fillId="0" borderId="17" xfId="0" applyFont="1" applyBorder="1" applyAlignment="1">
      <alignment horizontal="center" vertical="center"/>
    </xf>
    <xf numFmtId="166" fontId="8" fillId="0" borderId="18" xfId="0" applyNumberFormat="1" applyFont="1" applyBorder="1"/>
    <xf numFmtId="0" fontId="11" fillId="0" borderId="19" xfId="0" applyFont="1" applyBorder="1"/>
    <xf numFmtId="166" fontId="8" fillId="0" borderId="20" xfId="0" applyNumberFormat="1" applyFont="1" applyBorder="1"/>
    <xf numFmtId="0" fontId="0" fillId="17" borderId="0" xfId="0" applyFill="1"/>
    <xf numFmtId="3" fontId="0" fillId="17" borderId="0" xfId="0" applyNumberFormat="1" applyFill="1"/>
    <xf numFmtId="16" fontId="3" fillId="3" borderId="7" xfId="0" applyNumberFormat="1" applyFont="1" applyFill="1" applyBorder="1" applyAlignment="1">
      <alignment horizontal="center" vertical="center"/>
    </xf>
    <xf numFmtId="16" fontId="3" fillId="18" borderId="7" xfId="0" applyNumberFormat="1" applyFont="1" applyFill="1" applyBorder="1" applyAlignment="1">
      <alignment horizontal="center" vertical="center"/>
    </xf>
    <xf numFmtId="16" fontId="3" fillId="19" borderId="7" xfId="0" applyNumberFormat="1" applyFont="1" applyFill="1" applyBorder="1" applyAlignment="1">
      <alignment horizontal="center" vertical="center"/>
    </xf>
    <xf numFmtId="9" fontId="5" fillId="7" borderId="6" xfId="0" applyNumberFormat="1" applyFont="1" applyFill="1" applyBorder="1" applyAlignment="1">
      <alignment horizontal="center"/>
    </xf>
    <xf numFmtId="0" fontId="21" fillId="20" borderId="0" xfId="0" applyFont="1" applyFill="1" applyAlignment="1">
      <alignment horizontal="center"/>
    </xf>
    <xf numFmtId="9" fontId="21" fillId="20" borderId="0" xfId="0" applyNumberFormat="1" applyFont="1" applyFill="1" applyAlignment="1">
      <alignment horizontal="center"/>
    </xf>
    <xf numFmtId="9" fontId="7" fillId="3" borderId="5" xfId="1" applyFont="1" applyFill="1" applyBorder="1" applyAlignment="1">
      <alignment horizontal="center" vertical="center"/>
    </xf>
    <xf numFmtId="3" fontId="7" fillId="21" borderId="5" xfId="0" applyNumberFormat="1" applyFont="1" applyFill="1" applyBorder="1" applyAlignment="1">
      <alignment horizontal="center" vertical="center"/>
    </xf>
    <xf numFmtId="0" fontId="7" fillId="21" borderId="10" xfId="0" applyFont="1" applyFill="1" applyBorder="1" applyAlignment="1">
      <alignment horizontal="center" vertical="center"/>
    </xf>
    <xf numFmtId="164" fontId="6" fillId="22" borderId="10" xfId="0" applyNumberFormat="1" applyFont="1" applyFill="1" applyBorder="1" applyAlignment="1">
      <alignment horizontal="center" vertical="center"/>
    </xf>
    <xf numFmtId="0" fontId="6" fillId="22" borderId="10" xfId="0" applyFont="1" applyFill="1" applyBorder="1" applyAlignment="1">
      <alignment horizontal="center" vertical="center"/>
    </xf>
    <xf numFmtId="10" fontId="7" fillId="21" borderId="10" xfId="0" applyNumberFormat="1" applyFont="1" applyFill="1" applyBorder="1" applyAlignment="1">
      <alignment horizontal="center" vertical="center"/>
    </xf>
    <xf numFmtId="0" fontId="6" fillId="23" borderId="10" xfId="0" applyFont="1" applyFill="1" applyBorder="1" applyAlignment="1">
      <alignment horizontal="center" vertical="center"/>
    </xf>
    <xf numFmtId="3" fontId="7" fillId="21" borderId="10" xfId="0" applyNumberFormat="1" applyFont="1" applyFill="1" applyBorder="1" applyAlignment="1">
      <alignment horizontal="center" vertical="center"/>
    </xf>
    <xf numFmtId="164" fontId="17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0" xfId="0" applyFont="1" applyFill="1"/>
    <xf numFmtId="0" fontId="1" fillId="2" borderId="0" xfId="0" applyFont="1" applyFill="1" applyAlignment="1">
      <alignment horizontal="left" vertical="center" indent="1"/>
    </xf>
    <xf numFmtId="0" fontId="15" fillId="13" borderId="0" xfId="0" applyFont="1" applyFill="1" applyAlignment="1">
      <alignment horizontal="center"/>
    </xf>
    <xf numFmtId="0" fontId="2" fillId="4" borderId="2" xfId="0" applyFont="1" applyFill="1" applyBorder="1" applyAlignment="1">
      <alignment horizontal="left"/>
    </xf>
    <xf numFmtId="0" fontId="13" fillId="0" borderId="0" xfId="0" applyFont="1"/>
    <xf numFmtId="0" fontId="14" fillId="0" borderId="0" xfId="0" applyFont="1"/>
    <xf numFmtId="0" fontId="4" fillId="6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9" fillId="15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3" fillId="3" borderId="0" xfId="0" applyFont="1" applyFill="1" applyAlignment="1">
      <alignment horizontal="center"/>
    </xf>
    <xf numFmtId="0" fontId="20" fillId="0" borderId="0" xfId="0" applyFont="1" applyAlignment="1">
      <alignment horizontal="center" vertical="center" wrapText="1"/>
    </xf>
    <xf numFmtId="166" fontId="8" fillId="0" borderId="21" xfId="0" applyNumberFormat="1" applyFont="1" applyBorder="1"/>
    <xf numFmtId="0" fontId="6" fillId="0" borderId="22" xfId="0" applyFont="1" applyBorder="1" applyAlignment="1">
      <alignment horizontal="center" vertical="center"/>
    </xf>
    <xf numFmtId="3" fontId="0" fillId="0" borderId="23" xfId="0" applyNumberFormat="1" applyBorder="1"/>
    <xf numFmtId="3" fontId="0" fillId="0" borderId="16" xfId="0" applyNumberFormat="1" applyBorder="1"/>
    <xf numFmtId="3" fontId="0" fillId="0" borderId="0" xfId="0" applyNumberFormat="1" applyBorder="1"/>
    <xf numFmtId="3" fontId="0" fillId="0" borderId="18" xfId="0" applyNumberFormat="1" applyBorder="1"/>
    <xf numFmtId="0" fontId="6" fillId="0" borderId="24" xfId="0" applyFont="1" applyBorder="1" applyAlignment="1">
      <alignment horizontal="center" vertical="center"/>
    </xf>
    <xf numFmtId="3" fontId="0" fillId="0" borderId="7" xfId="0" applyNumberFormat="1" applyBorder="1"/>
    <xf numFmtId="3" fontId="0" fillId="0" borderId="20" xfId="0" applyNumberFormat="1" applyBorder="1"/>
    <xf numFmtId="0" fontId="2" fillId="4" borderId="25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4" fillId="6" borderId="28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4" fillId="6" borderId="31" xfId="0" applyFont="1" applyFill="1" applyBorder="1" applyAlignment="1">
      <alignment horizontal="center" vertical="center" wrapText="1"/>
    </xf>
    <xf numFmtId="3" fontId="0" fillId="0" borderId="32" xfId="0" applyNumberFormat="1" applyBorder="1"/>
    <xf numFmtId="3" fontId="0" fillId="0" borderId="21" xfId="0" applyNumberFormat="1" applyBorder="1"/>
    <xf numFmtId="0" fontId="11" fillId="0" borderId="0" xfId="0" applyFont="1" applyBorder="1"/>
    <xf numFmtId="166" fontId="8" fillId="0" borderId="0" xfId="0" applyNumberFormat="1" applyFont="1" applyBorder="1"/>
    <xf numFmtId="0" fontId="6" fillId="0" borderId="3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4" fillId="6" borderId="33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9945"/>
      <rgbColor rgb="FF800080"/>
      <rgbColor rgb="FF4F81BD"/>
      <rgbColor rgb="FFB7B7B7"/>
      <rgbColor rgb="FF808080"/>
      <rgbColor rgb="FFA6A6A6"/>
      <rgbColor rgb="FF674F84"/>
      <rgbColor rgb="FFF9F9F9"/>
      <rgbColor rgb="FFDDEBF7"/>
      <rgbColor rgb="FF660066"/>
      <rgbColor rgb="FFFF8080"/>
      <rgbColor rgb="FF2E75B6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7E6E6"/>
      <rgbColor rgb="FFD9E2F3"/>
      <rgbColor rgb="FF99CCFF"/>
      <rgbColor rgb="FFB4C6E7"/>
      <rgbColor rgb="FFB3B3B3"/>
      <rgbColor rgb="FFD9D9D9"/>
      <rgbColor rgb="FF4472C4"/>
      <rgbColor rgb="FFBDD7EE"/>
      <rgbColor rgb="FF98B855"/>
      <rgbColor rgb="FFFFCC00"/>
      <rgbColor rgb="FFFF9900"/>
      <rgbColor rgb="FFED7D31"/>
      <rgbColor rgb="FF7D5FA0"/>
      <rgbColor rgb="FF878787"/>
      <rgbColor rgb="FF1F4E78"/>
      <rgbColor rgb="FF548235"/>
      <rgbColor rgb="FF003300"/>
      <rgbColor rgb="FF333300"/>
      <rgbColor rgb="FF993300"/>
      <rgbColor rgb="FF7F7F7F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Entrantes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'Entrantes e Habilitados'!$M$16</c:f>
              <c:strCache>
                <c:ptCount val="1"/>
                <c:pt idx="0">
                  <c:v>Entrantes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'Entrantes e Habilitados'!$L$17:$L$26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PR</c:v>
                </c:pt>
                <c:pt idx="4">
                  <c:v>SC</c:v>
                </c:pt>
                <c:pt idx="5">
                  <c:v>RS</c:v>
                </c:pt>
                <c:pt idx="6">
                  <c:v>GO</c:v>
                </c:pt>
                <c:pt idx="7">
                  <c:v>BA</c:v>
                </c:pt>
                <c:pt idx="8">
                  <c:v>Outros</c:v>
                </c:pt>
                <c:pt idx="9">
                  <c:v>Vazias</c:v>
                </c:pt>
              </c:strCache>
            </c:strRef>
          </c:cat>
          <c:val>
            <c:numRef>
              <c:f>'Entrantes e Habilitados'!$M$17:$M$26</c:f>
              <c:numCache>
                <c:formatCode>#,##0</c:formatCode>
                <c:ptCount val="10"/>
                <c:pt idx="0">
                  <c:v>1244</c:v>
                </c:pt>
                <c:pt idx="1">
                  <c:v>193</c:v>
                </c:pt>
                <c:pt idx="2">
                  <c:v>191</c:v>
                </c:pt>
                <c:pt idx="3">
                  <c:v>139</c:v>
                </c:pt>
                <c:pt idx="4">
                  <c:v>49</c:v>
                </c:pt>
                <c:pt idx="5">
                  <c:v>39</c:v>
                </c:pt>
                <c:pt idx="6">
                  <c:v>127</c:v>
                </c:pt>
                <c:pt idx="7">
                  <c:v>89</c:v>
                </c:pt>
                <c:pt idx="8">
                  <c:v>393</c:v>
                </c:pt>
                <c:pt idx="9">
                  <c:v>1478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9-41CC-B5A1-86F93B2B4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91831"/>
        <c:axId val="71360048"/>
      </c:barChart>
      <c:catAx>
        <c:axId val="121918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1360048"/>
        <c:crosses val="autoZero"/>
        <c:auto val="1"/>
        <c:lblAlgn val="ctr"/>
        <c:lblOffset val="100"/>
        <c:noMultiLvlLbl val="0"/>
      </c:catAx>
      <c:valAx>
        <c:axId val="713600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Entrantes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21918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Habilitados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'Entrantes e Habilitados'!$Q$2</c:f>
              <c:strCache>
                <c:ptCount val="1"/>
                <c:pt idx="0">
                  <c:v>Habilitados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'Entrantes e Habilitados'!$P$3:$P$11</c:f>
              <c:strCache>
                <c:ptCount val="9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PR</c:v>
                </c:pt>
                <c:pt idx="4">
                  <c:v>SC</c:v>
                </c:pt>
                <c:pt idx="5">
                  <c:v>RS</c:v>
                </c:pt>
                <c:pt idx="6">
                  <c:v>GO</c:v>
                </c:pt>
                <c:pt idx="7">
                  <c:v>BA</c:v>
                </c:pt>
                <c:pt idx="8">
                  <c:v>Outros</c:v>
                </c:pt>
              </c:strCache>
            </c:strRef>
          </c:cat>
          <c:val>
            <c:numRef>
              <c:f>'Entrantes e Habilitados'!$Q$3:$Q$11</c:f>
              <c:numCache>
                <c:formatCode>#,##0</c:formatCode>
                <c:ptCount val="9"/>
                <c:pt idx="0">
                  <c:v>1106</c:v>
                </c:pt>
                <c:pt idx="1">
                  <c:v>176</c:v>
                </c:pt>
                <c:pt idx="2">
                  <c:v>211</c:v>
                </c:pt>
                <c:pt idx="3">
                  <c:v>150</c:v>
                </c:pt>
                <c:pt idx="4">
                  <c:v>60</c:v>
                </c:pt>
                <c:pt idx="5">
                  <c:v>49</c:v>
                </c:pt>
                <c:pt idx="6">
                  <c:v>116</c:v>
                </c:pt>
                <c:pt idx="7">
                  <c:v>91</c:v>
                </c:pt>
                <c:pt idx="8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6-458E-840D-D40B2630E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66817"/>
        <c:axId val="3226165"/>
      </c:barChart>
      <c:catAx>
        <c:axId val="157668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226165"/>
        <c:crosses val="autoZero"/>
        <c:auto val="1"/>
        <c:lblAlgn val="ctr"/>
        <c:lblOffset val="100"/>
        <c:noMultiLvlLbl val="0"/>
      </c:catAx>
      <c:valAx>
        <c:axId val="3226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Habilitados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57668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Entrantes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'Entrantes e Habilitados'!$M$2</c:f>
              <c:strCache>
                <c:ptCount val="1"/>
                <c:pt idx="0">
                  <c:v>Entrantes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'Entrantes e Habilitados'!$L$3:$L$12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PR</c:v>
                </c:pt>
                <c:pt idx="4">
                  <c:v>SC</c:v>
                </c:pt>
                <c:pt idx="5">
                  <c:v>RS</c:v>
                </c:pt>
                <c:pt idx="6">
                  <c:v>GO</c:v>
                </c:pt>
                <c:pt idx="7">
                  <c:v>BA</c:v>
                </c:pt>
                <c:pt idx="8">
                  <c:v>Outros</c:v>
                </c:pt>
                <c:pt idx="9">
                  <c:v>Vazias</c:v>
                </c:pt>
              </c:strCache>
            </c:strRef>
          </c:cat>
          <c:val>
            <c:numRef>
              <c:f>'Entrantes e Habilitados'!$M$3:$M$12</c:f>
              <c:numCache>
                <c:formatCode>#,##0</c:formatCode>
                <c:ptCount val="10"/>
                <c:pt idx="0">
                  <c:v>1231</c:v>
                </c:pt>
                <c:pt idx="1">
                  <c:v>185</c:v>
                </c:pt>
                <c:pt idx="2">
                  <c:v>231</c:v>
                </c:pt>
                <c:pt idx="3">
                  <c:v>161</c:v>
                </c:pt>
                <c:pt idx="4">
                  <c:v>61</c:v>
                </c:pt>
                <c:pt idx="5">
                  <c:v>56</c:v>
                </c:pt>
                <c:pt idx="6">
                  <c:v>113</c:v>
                </c:pt>
                <c:pt idx="7">
                  <c:v>86</c:v>
                </c:pt>
                <c:pt idx="8">
                  <c:v>378</c:v>
                </c:pt>
                <c:pt idx="9">
                  <c:v>1581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3D5-AA16-9D3A12A5D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18129"/>
        <c:axId val="17389979"/>
      </c:barChart>
      <c:catAx>
        <c:axId val="387181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389979"/>
        <c:crosses val="autoZero"/>
        <c:auto val="1"/>
        <c:lblAlgn val="ctr"/>
        <c:lblOffset val="100"/>
        <c:noMultiLvlLbl val="0"/>
      </c:catAx>
      <c:valAx>
        <c:axId val="17389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Entrantes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87181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Habilitados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'Entrantes e Habilitados'!$Q$16</c:f>
              <c:strCache>
                <c:ptCount val="1"/>
                <c:pt idx="0">
                  <c:v>Habilitados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'Entrantes e Habilitados'!$P$17:$P$25</c:f>
              <c:strCache>
                <c:ptCount val="9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PR</c:v>
                </c:pt>
                <c:pt idx="4">
                  <c:v>SC</c:v>
                </c:pt>
                <c:pt idx="5">
                  <c:v>RS</c:v>
                </c:pt>
                <c:pt idx="6">
                  <c:v>GO</c:v>
                </c:pt>
                <c:pt idx="7">
                  <c:v>BA</c:v>
                </c:pt>
                <c:pt idx="8">
                  <c:v>Outros</c:v>
                </c:pt>
              </c:strCache>
            </c:strRef>
          </c:cat>
          <c:val>
            <c:numRef>
              <c:f>'Entrantes e Habilitados'!$Q$17:$Q$25</c:f>
              <c:numCache>
                <c:formatCode>#,##0</c:formatCode>
                <c:ptCount val="9"/>
                <c:pt idx="0">
                  <c:v>1094</c:v>
                </c:pt>
                <c:pt idx="1">
                  <c:v>184</c:v>
                </c:pt>
                <c:pt idx="2">
                  <c:v>199</c:v>
                </c:pt>
                <c:pt idx="3">
                  <c:v>129</c:v>
                </c:pt>
                <c:pt idx="4">
                  <c:v>50</c:v>
                </c:pt>
                <c:pt idx="5">
                  <c:v>34</c:v>
                </c:pt>
                <c:pt idx="6">
                  <c:v>120</c:v>
                </c:pt>
                <c:pt idx="7">
                  <c:v>93</c:v>
                </c:pt>
                <c:pt idx="8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9-4BE2-8748-B6E4398B8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07468"/>
        <c:axId val="59780028"/>
      </c:barChart>
      <c:catAx>
        <c:axId val="50507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9780028"/>
        <c:crosses val="autoZero"/>
        <c:auto val="1"/>
        <c:lblAlgn val="ctr"/>
        <c:lblOffset val="100"/>
        <c:noMultiLvlLbl val="0"/>
      </c:catAx>
      <c:valAx>
        <c:axId val="597800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Habilitados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05074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Entrantes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'Entrantes e Habilitados'!$M$16</c:f>
              <c:strCache>
                <c:ptCount val="1"/>
                <c:pt idx="0">
                  <c:v>Entrantes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'Entrantes e Habilitados'!$L$31:$L$40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PR</c:v>
                </c:pt>
                <c:pt idx="4">
                  <c:v>SC</c:v>
                </c:pt>
                <c:pt idx="5">
                  <c:v>RS</c:v>
                </c:pt>
                <c:pt idx="6">
                  <c:v>GO</c:v>
                </c:pt>
                <c:pt idx="7">
                  <c:v>BA</c:v>
                </c:pt>
                <c:pt idx="8">
                  <c:v>Outros</c:v>
                </c:pt>
                <c:pt idx="9">
                  <c:v>Vazias</c:v>
                </c:pt>
              </c:strCache>
            </c:strRef>
          </c:cat>
          <c:val>
            <c:numRef>
              <c:f>'Entrantes e Habilitados'!$M$31:$M$40</c:f>
              <c:numCache>
                <c:formatCode>#,##0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52C5-4DB0-A86C-6D65B1882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924619"/>
        <c:axId val="50807427"/>
      </c:barChart>
      <c:catAx>
        <c:axId val="879246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0807427"/>
        <c:crosses val="autoZero"/>
        <c:auto val="1"/>
        <c:lblAlgn val="ctr"/>
        <c:lblOffset val="100"/>
        <c:noMultiLvlLbl val="0"/>
      </c:catAx>
      <c:valAx>
        <c:axId val="50807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Entrantes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79246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Habilitados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'Entrantes e Habilitados'!$Q$16</c:f>
              <c:strCache>
                <c:ptCount val="1"/>
                <c:pt idx="0">
                  <c:v>Habilitados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'Entrantes e Habilitados'!$P$31:$P$39</c:f>
              <c:strCache>
                <c:ptCount val="9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PR</c:v>
                </c:pt>
                <c:pt idx="4">
                  <c:v>SC</c:v>
                </c:pt>
                <c:pt idx="5">
                  <c:v>RS</c:v>
                </c:pt>
                <c:pt idx="6">
                  <c:v>GO</c:v>
                </c:pt>
                <c:pt idx="7">
                  <c:v>BA</c:v>
                </c:pt>
                <c:pt idx="8">
                  <c:v>Outros</c:v>
                </c:pt>
              </c:strCache>
            </c:strRef>
          </c:cat>
          <c:val>
            <c:numRef>
              <c:f>'Entrantes e Habilitados'!$Q$31:$Q$39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F64C-42A6-8EB4-F5DA80EDE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69439"/>
        <c:axId val="25874731"/>
      </c:barChart>
      <c:catAx>
        <c:axId val="431694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5874731"/>
        <c:crosses val="autoZero"/>
        <c:auto val="1"/>
        <c:lblAlgn val="ctr"/>
        <c:lblOffset val="100"/>
        <c:noMultiLvlLbl val="0"/>
      </c:catAx>
      <c:valAx>
        <c:axId val="25874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Habilitados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31694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Entrantes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'Entrantes e Habilitados'!$M$16</c:f>
              <c:strCache>
                <c:ptCount val="1"/>
                <c:pt idx="0">
                  <c:v>Entrantes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'Entrantes e Habilitados'!$L$45:$L$54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PR</c:v>
                </c:pt>
                <c:pt idx="4">
                  <c:v>SC</c:v>
                </c:pt>
                <c:pt idx="5">
                  <c:v>RS</c:v>
                </c:pt>
                <c:pt idx="6">
                  <c:v>GO</c:v>
                </c:pt>
                <c:pt idx="7">
                  <c:v>BA</c:v>
                </c:pt>
                <c:pt idx="8">
                  <c:v>Outros</c:v>
                </c:pt>
                <c:pt idx="9">
                  <c:v>Vazias</c:v>
                </c:pt>
              </c:strCache>
            </c:strRef>
          </c:cat>
          <c:val>
            <c:numRef>
              <c:f>'Entrantes e Habilitados'!$M$45:$M$54</c:f>
              <c:numCache>
                <c:formatCode>#,##0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1134-4BCC-8225-08A4B62E0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18213"/>
        <c:axId val="27002239"/>
      </c:barChart>
      <c:catAx>
        <c:axId val="215182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7002239"/>
        <c:crosses val="autoZero"/>
        <c:auto val="1"/>
        <c:lblAlgn val="ctr"/>
        <c:lblOffset val="100"/>
        <c:noMultiLvlLbl val="0"/>
      </c:catAx>
      <c:valAx>
        <c:axId val="270022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Entrantes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15182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Habilitados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'Entrantes e Habilitados'!$Q$16</c:f>
              <c:strCache>
                <c:ptCount val="1"/>
                <c:pt idx="0">
                  <c:v>Habilitados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'Entrantes e Habilitados'!$P$45:$P$53</c:f>
              <c:strCache>
                <c:ptCount val="9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PR</c:v>
                </c:pt>
                <c:pt idx="4">
                  <c:v>SC</c:v>
                </c:pt>
                <c:pt idx="5">
                  <c:v>RS</c:v>
                </c:pt>
                <c:pt idx="6">
                  <c:v>GO</c:v>
                </c:pt>
                <c:pt idx="7">
                  <c:v>BA</c:v>
                </c:pt>
                <c:pt idx="8">
                  <c:v>Outros</c:v>
                </c:pt>
              </c:strCache>
            </c:strRef>
          </c:cat>
          <c:val>
            <c:numRef>
              <c:f>'Entrantes e Habilitados'!$Q$45:$Q$53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4299-4293-8A80-9F15CB88C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79461"/>
        <c:axId val="29848429"/>
      </c:barChart>
      <c:catAx>
        <c:axId val="84794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9848429"/>
        <c:crosses val="autoZero"/>
        <c:auto val="1"/>
        <c:lblAlgn val="ctr"/>
        <c:lblOffset val="100"/>
        <c:noMultiLvlLbl val="0"/>
      </c:catAx>
      <c:valAx>
        <c:axId val="298484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Habilitados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4794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Direta'!$B$17</c:f>
              <c:strCache>
                <c:ptCount val="1"/>
                <c:pt idx="0">
                  <c:v>Page Views</c:v>
                </c:pt>
              </c:strCache>
            </c:strRef>
          </c:tx>
          <c:spPr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Direta'!$A$18:$A$24</c:f>
              <c:numCache>
                <c:formatCode>General</c:formatCode>
                <c:ptCount val="7"/>
                <c:pt idx="0">
                  <c:v>30</c:v>
                </c:pt>
                <c:pt idx="1">
                  <c:v>31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cat>
          <c:val>
            <c:numRef>
              <c:f>'Venda Direta'!$B$18:$B$24</c:f>
              <c:numCache>
                <c:formatCode>#,##0</c:formatCode>
                <c:ptCount val="7"/>
                <c:pt idx="0">
                  <c:v>4861</c:v>
                </c:pt>
                <c:pt idx="1">
                  <c:v>5987</c:v>
                </c:pt>
                <c:pt idx="2">
                  <c:v>6062</c:v>
                </c:pt>
                <c:pt idx="3">
                  <c:v>475</c:v>
                </c:pt>
                <c:pt idx="4">
                  <c:v>682</c:v>
                </c:pt>
                <c:pt idx="5">
                  <c:v>1393</c:v>
                </c:pt>
                <c:pt idx="6">
                  <c:v>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14-446E-B44D-D91DC984CC51}"/>
            </c:ext>
          </c:extLst>
        </c:ser>
        <c:ser>
          <c:idx val="1"/>
          <c:order val="1"/>
          <c:tx>
            <c:strRef>
              <c:f>'Venda Direta'!$C$17</c:f>
              <c:strCache>
                <c:ptCount val="1"/>
                <c:pt idx="0">
                  <c:v>Active Users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Direta'!$A$18:$A$24</c:f>
              <c:numCache>
                <c:formatCode>General</c:formatCode>
                <c:ptCount val="7"/>
                <c:pt idx="0">
                  <c:v>30</c:v>
                </c:pt>
                <c:pt idx="1">
                  <c:v>31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cat>
          <c:val>
            <c:numRef>
              <c:f>'Venda Direta'!$C$18:$C$24</c:f>
              <c:numCache>
                <c:formatCode>#,##0</c:formatCode>
                <c:ptCount val="7"/>
                <c:pt idx="0">
                  <c:v>1889</c:v>
                </c:pt>
                <c:pt idx="1">
                  <c:v>2448</c:v>
                </c:pt>
                <c:pt idx="2">
                  <c:v>2303</c:v>
                </c:pt>
                <c:pt idx="3">
                  <c:v>289</c:v>
                </c:pt>
                <c:pt idx="4">
                  <c:v>420</c:v>
                </c:pt>
                <c:pt idx="5">
                  <c:v>762</c:v>
                </c:pt>
                <c:pt idx="6">
                  <c:v>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4-446E-B44D-D91DC984C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367011"/>
        <c:axId val="63760855"/>
      </c:lineChart>
      <c:catAx>
        <c:axId val="893670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3760855"/>
        <c:crosses val="autoZero"/>
        <c:auto val="1"/>
        <c:lblAlgn val="ctr"/>
        <c:lblOffset val="100"/>
        <c:noMultiLvlLbl val="0"/>
      </c:catAx>
      <c:valAx>
        <c:axId val="63760855"/>
        <c:scaling>
          <c:orientation val="minMax"/>
        </c:scaling>
        <c:delete val="0"/>
        <c:axPos val="l"/>
        <c:majorGridlines>
          <c:spPr>
            <a:ln w="648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93670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Vender — GA (7 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Direta'!$B$28</c:f>
              <c:strCache>
                <c:ptCount val="1"/>
                <c:pt idx="0">
                  <c:v>Page Views</c:v>
                </c:pt>
              </c:strCache>
            </c:strRef>
          </c:tx>
          <c:spPr>
            <a:ln w="4752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Direta'!$A$29:$A$35</c:f>
              <c:numCache>
                <c:formatCode>General</c:formatCode>
                <c:ptCount val="7"/>
                <c:pt idx="0">
                  <c:v>30</c:v>
                </c:pt>
                <c:pt idx="1">
                  <c:v>31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cat>
          <c:val>
            <c:numRef>
              <c:f>'Venda Direta'!$B$29:$B$35</c:f>
              <c:numCache>
                <c:formatCode>#,##0</c:formatCode>
                <c:ptCount val="7"/>
                <c:pt idx="0">
                  <c:v>1407</c:v>
                </c:pt>
                <c:pt idx="1">
                  <c:v>2155</c:v>
                </c:pt>
                <c:pt idx="2">
                  <c:v>2157</c:v>
                </c:pt>
                <c:pt idx="3">
                  <c:v>2143</c:v>
                </c:pt>
                <c:pt idx="4">
                  <c:v>1447</c:v>
                </c:pt>
                <c:pt idx="5">
                  <c:v>1413</c:v>
                </c:pt>
                <c:pt idx="6">
                  <c:v>1017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C1-49AD-B5A2-B93D5E36DEC1}"/>
            </c:ext>
          </c:extLst>
        </c:ser>
        <c:ser>
          <c:idx val="1"/>
          <c:order val="1"/>
          <c:tx>
            <c:strRef>
              <c:f>'Venda Direta'!$C$28</c:f>
              <c:strCache>
                <c:ptCount val="1"/>
                <c:pt idx="0">
                  <c:v>Active Users</c:v>
                </c:pt>
              </c:strCache>
            </c:strRef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Direta'!$A$29:$A$35</c:f>
              <c:numCache>
                <c:formatCode>General</c:formatCode>
                <c:ptCount val="7"/>
                <c:pt idx="0">
                  <c:v>30</c:v>
                </c:pt>
                <c:pt idx="1">
                  <c:v>31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cat>
          <c:val>
            <c:numRef>
              <c:f>'Venda Direta'!$C$29:$C$35</c:f>
              <c:numCache>
                <c:formatCode>#,##0</c:formatCode>
                <c:ptCount val="7"/>
                <c:pt idx="0">
                  <c:v>1159</c:v>
                </c:pt>
                <c:pt idx="1">
                  <c:v>1854</c:v>
                </c:pt>
                <c:pt idx="2">
                  <c:v>1839</c:v>
                </c:pt>
                <c:pt idx="3">
                  <c:v>1763</c:v>
                </c:pt>
                <c:pt idx="4">
                  <c:v>1197</c:v>
                </c:pt>
                <c:pt idx="5">
                  <c:v>1053</c:v>
                </c:pt>
                <c:pt idx="6">
                  <c:v>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C1-49AD-B5A2-B93D5E36D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78437"/>
        <c:axId val="46259245"/>
      </c:lineChart>
      <c:catAx>
        <c:axId val="97784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6259245"/>
        <c:crosses val="autoZero"/>
        <c:auto val="1"/>
        <c:lblAlgn val="ctr"/>
        <c:lblOffset val="100"/>
        <c:noMultiLvlLbl val="0"/>
      </c:catAx>
      <c:valAx>
        <c:axId val="462592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7784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Direta'!$G$17</c:f>
              <c:strCache>
                <c:ptCount val="1"/>
                <c:pt idx="0">
                  <c:v>Page Views</c:v>
                </c:pt>
              </c:strCache>
            </c:strRef>
          </c:tx>
          <c:spPr>
            <a:ln w="2016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Direta'!$F$18:$F$24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cat>
          <c:val>
            <c:numRef>
              <c:f>'Venda Direta'!$G$18:$G$24</c:f>
              <c:numCache>
                <c:formatCode>#,##0</c:formatCode>
                <c:ptCount val="7"/>
                <c:pt idx="0">
                  <c:v>1033</c:v>
                </c:pt>
                <c:pt idx="1">
                  <c:v>1282</c:v>
                </c:pt>
                <c:pt idx="2">
                  <c:v>1495</c:v>
                </c:pt>
                <c:pt idx="3">
                  <c:v>1557</c:v>
                </c:pt>
                <c:pt idx="4">
                  <c:v>1511</c:v>
                </c:pt>
                <c:pt idx="5">
                  <c:v>1326</c:v>
                </c:pt>
                <c:pt idx="6">
                  <c:v>1008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D2-4084-824F-906CA5EFCE08}"/>
            </c:ext>
          </c:extLst>
        </c:ser>
        <c:ser>
          <c:idx val="1"/>
          <c:order val="1"/>
          <c:tx>
            <c:strRef>
              <c:f>'Venda Direta'!$H$17</c:f>
              <c:strCache>
                <c:ptCount val="1"/>
                <c:pt idx="0">
                  <c:v>Active Users</c:v>
                </c:pt>
              </c:strCache>
            </c:strRef>
          </c:tx>
          <c:spPr>
            <a:ln w="2016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Direta'!$F$18:$F$24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cat>
          <c:val>
            <c:numRef>
              <c:f>'Venda Direta'!$H$18:$H$24</c:f>
              <c:numCache>
                <c:formatCode>#,##0</c:formatCode>
                <c:ptCount val="7"/>
                <c:pt idx="0">
                  <c:v>572</c:v>
                </c:pt>
                <c:pt idx="1">
                  <c:v>721</c:v>
                </c:pt>
                <c:pt idx="2">
                  <c:v>841</c:v>
                </c:pt>
                <c:pt idx="3">
                  <c:v>972</c:v>
                </c:pt>
                <c:pt idx="4">
                  <c:v>1079</c:v>
                </c:pt>
                <c:pt idx="5">
                  <c:v>929</c:v>
                </c:pt>
                <c:pt idx="6">
                  <c:v>746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D2-4084-824F-906CA5EFC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926864"/>
        <c:axId val="81345065"/>
      </c:lineChart>
      <c:catAx>
        <c:axId val="88926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1345065"/>
        <c:crosses val="autoZero"/>
        <c:auto val="1"/>
        <c:lblAlgn val="ctr"/>
        <c:lblOffset val="100"/>
        <c:noMultiLvlLbl val="0"/>
      </c:catAx>
      <c:valAx>
        <c:axId val="813450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89268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Vender — GA (7 dias) 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Direta'!$G$28</c:f>
              <c:strCache>
                <c:ptCount val="1"/>
                <c:pt idx="0">
                  <c:v>Page Views</c:v>
                </c:pt>
              </c:strCache>
            </c:strRef>
          </c:tx>
          <c:spPr>
            <a:ln w="2016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Direta'!$F$29:$F$35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cat>
          <c:val>
            <c:numRef>
              <c:f>'Venda Direta'!$G$29:$G$35</c:f>
              <c:numCache>
                <c:formatCode>#,##0</c:formatCode>
                <c:ptCount val="7"/>
                <c:pt idx="0">
                  <c:v>955</c:v>
                </c:pt>
                <c:pt idx="1">
                  <c:v>1023</c:v>
                </c:pt>
                <c:pt idx="2">
                  <c:v>1311</c:v>
                </c:pt>
                <c:pt idx="3">
                  <c:v>1309</c:v>
                </c:pt>
                <c:pt idx="4">
                  <c:v>1289</c:v>
                </c:pt>
                <c:pt idx="5">
                  <c:v>1135</c:v>
                </c:pt>
                <c:pt idx="6">
                  <c:v>758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84-445E-B0BB-45367739732E}"/>
            </c:ext>
          </c:extLst>
        </c:ser>
        <c:ser>
          <c:idx val="1"/>
          <c:order val="1"/>
          <c:tx>
            <c:strRef>
              <c:f>'Venda Direta'!$H$28</c:f>
              <c:strCache>
                <c:ptCount val="1"/>
                <c:pt idx="0">
                  <c:v>Active Users</c:v>
                </c:pt>
              </c:strCache>
            </c:strRef>
          </c:tx>
          <c:spPr>
            <a:ln w="2016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Direta'!$F$29:$F$35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cat>
          <c:val>
            <c:numRef>
              <c:f>'Venda Direta'!$H$29:$H$35</c:f>
              <c:numCache>
                <c:formatCode>#,##0</c:formatCode>
                <c:ptCount val="7"/>
                <c:pt idx="0">
                  <c:v>744</c:v>
                </c:pt>
                <c:pt idx="1">
                  <c:v>785</c:v>
                </c:pt>
                <c:pt idx="2">
                  <c:v>1014</c:v>
                </c:pt>
                <c:pt idx="3">
                  <c:v>1006</c:v>
                </c:pt>
                <c:pt idx="4">
                  <c:v>1057</c:v>
                </c:pt>
                <c:pt idx="5">
                  <c:v>924</c:v>
                </c:pt>
                <c:pt idx="6">
                  <c:v>611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84-445E-B0BB-453677397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220177"/>
        <c:axId val="6093639"/>
      </c:lineChart>
      <c:catAx>
        <c:axId val="112201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093639"/>
        <c:crosses val="autoZero"/>
        <c:auto val="1"/>
        <c:lblAlgn val="ctr"/>
        <c:lblOffset val="100"/>
        <c:noMultiLvlLbl val="0"/>
      </c:catAx>
      <c:valAx>
        <c:axId val="609363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12201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Direta'!$D$17</c:f>
              <c:strCache>
                <c:ptCount val="1"/>
                <c:pt idx="0">
                  <c:v>New Users</c:v>
                </c:pt>
              </c:strCache>
            </c:strRef>
          </c:tx>
          <c:spPr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Direta'!$A$18:$A$24</c:f>
              <c:numCache>
                <c:formatCode>General</c:formatCode>
                <c:ptCount val="7"/>
                <c:pt idx="0">
                  <c:v>30</c:v>
                </c:pt>
                <c:pt idx="1">
                  <c:v>31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cat>
          <c:val>
            <c:numRef>
              <c:f>'Venda Direta'!$D$18:$D$24</c:f>
              <c:numCache>
                <c:formatCode>#,##0</c:formatCode>
                <c:ptCount val="7"/>
                <c:pt idx="0">
                  <c:v>329</c:v>
                </c:pt>
                <c:pt idx="1">
                  <c:v>236</c:v>
                </c:pt>
                <c:pt idx="2">
                  <c:v>207</c:v>
                </c:pt>
                <c:pt idx="3">
                  <c:v>6</c:v>
                </c:pt>
                <c:pt idx="4">
                  <c:v>7</c:v>
                </c:pt>
                <c:pt idx="5">
                  <c:v>24</c:v>
                </c:pt>
                <c:pt idx="6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0A-4EA1-B76C-562BEEE03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681851"/>
        <c:axId val="83913781"/>
      </c:lineChart>
      <c:catAx>
        <c:axId val="356818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3913781"/>
        <c:crosses val="autoZero"/>
        <c:auto val="1"/>
        <c:lblAlgn val="ctr"/>
        <c:lblOffset val="100"/>
        <c:noMultiLvlLbl val="0"/>
      </c:catAx>
      <c:valAx>
        <c:axId val="83913781"/>
        <c:scaling>
          <c:orientation val="minMax"/>
        </c:scaling>
        <c:delete val="0"/>
        <c:axPos val="l"/>
        <c:majorGridlines>
          <c:spPr>
            <a:ln w="648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56818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Direta'!$I$17</c:f>
              <c:strCache>
                <c:ptCount val="1"/>
                <c:pt idx="0">
                  <c:v>New Users</c:v>
                </c:pt>
              </c:strCache>
            </c:strRef>
          </c:tx>
          <c:spPr>
            <a:ln w="2016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Direta'!$F$18:$F$24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cat>
          <c:val>
            <c:numRef>
              <c:f>'Venda Direta'!$I$18:$I$24</c:f>
              <c:numCache>
                <c:formatCode>#,##0</c:formatCode>
                <c:ptCount val="7"/>
                <c:pt idx="0">
                  <c:v>13</c:v>
                </c:pt>
                <c:pt idx="1">
                  <c:v>24</c:v>
                </c:pt>
                <c:pt idx="2">
                  <c:v>16</c:v>
                </c:pt>
                <c:pt idx="3">
                  <c:v>21</c:v>
                </c:pt>
                <c:pt idx="4">
                  <c:v>31</c:v>
                </c:pt>
                <c:pt idx="5">
                  <c:v>25</c:v>
                </c:pt>
                <c:pt idx="6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E8-4977-8945-32FB8B28F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860644"/>
        <c:axId val="19910930"/>
      </c:lineChart>
      <c:catAx>
        <c:axId val="638606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9910930"/>
        <c:crosses val="autoZero"/>
        <c:auto val="1"/>
        <c:lblAlgn val="ctr"/>
        <c:lblOffset val="100"/>
        <c:noMultiLvlLbl val="0"/>
      </c:catAx>
      <c:valAx>
        <c:axId val="199109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38606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Vender — GA (7 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Direta'!$D$28</c:f>
              <c:strCache>
                <c:ptCount val="1"/>
                <c:pt idx="0">
                  <c:v>New Users</c:v>
                </c:pt>
              </c:strCache>
            </c:strRef>
          </c:tx>
          <c:spPr>
            <a:ln w="4752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Direta'!$A$29:$A$35</c:f>
              <c:numCache>
                <c:formatCode>General</c:formatCode>
                <c:ptCount val="7"/>
                <c:pt idx="0">
                  <c:v>30</c:v>
                </c:pt>
                <c:pt idx="1">
                  <c:v>31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cat>
          <c:val>
            <c:numRef>
              <c:f>'Venda Direta'!$D$29:$D$35</c:f>
              <c:numCache>
                <c:formatCode>#,##0</c:formatCode>
                <c:ptCount val="7"/>
                <c:pt idx="0">
                  <c:v>393</c:v>
                </c:pt>
                <c:pt idx="1">
                  <c:v>544</c:v>
                </c:pt>
                <c:pt idx="2">
                  <c:v>500</c:v>
                </c:pt>
                <c:pt idx="3">
                  <c:v>487</c:v>
                </c:pt>
                <c:pt idx="4">
                  <c:v>229</c:v>
                </c:pt>
                <c:pt idx="5">
                  <c:v>132</c:v>
                </c:pt>
                <c:pt idx="6">
                  <c:v>173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32-46F6-BD79-B7000664A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969509"/>
        <c:axId val="36262287"/>
      </c:lineChart>
      <c:catAx>
        <c:axId val="329695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6262287"/>
        <c:crosses val="autoZero"/>
        <c:auto val="1"/>
        <c:lblAlgn val="ctr"/>
        <c:lblOffset val="100"/>
        <c:noMultiLvlLbl val="0"/>
      </c:catAx>
      <c:valAx>
        <c:axId val="36262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2969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Vender — GA (7 dias) 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Direta'!$I$28</c:f>
              <c:strCache>
                <c:ptCount val="1"/>
                <c:pt idx="0">
                  <c:v>New Users</c:v>
                </c:pt>
              </c:strCache>
            </c:strRef>
          </c:tx>
          <c:spPr>
            <a:ln w="2016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Direta'!$F$29:$F$35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cat>
          <c:val>
            <c:numRef>
              <c:f>'Venda Direta'!$I$29:$I$35</c:f>
              <c:numCache>
                <c:formatCode>#,##0</c:formatCode>
                <c:ptCount val="7"/>
                <c:pt idx="0">
                  <c:v>181</c:v>
                </c:pt>
                <c:pt idx="1">
                  <c:v>152</c:v>
                </c:pt>
                <c:pt idx="2">
                  <c:v>109</c:v>
                </c:pt>
                <c:pt idx="3">
                  <c:v>91</c:v>
                </c:pt>
                <c:pt idx="4">
                  <c:v>54</c:v>
                </c:pt>
                <c:pt idx="5">
                  <c:v>87</c:v>
                </c:pt>
                <c:pt idx="6">
                  <c:v>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08-43E4-8AAF-0EA6ECBAE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5959749"/>
        <c:axId val="23192454"/>
      </c:lineChart>
      <c:catAx>
        <c:axId val="559597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3192454"/>
        <c:crosses val="autoZero"/>
        <c:auto val="1"/>
        <c:lblAlgn val="ctr"/>
        <c:lblOffset val="100"/>
        <c:noMultiLvlLbl val="0"/>
      </c:catAx>
      <c:valAx>
        <c:axId val="231924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59597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Direta'!$L$17</c:f>
              <c:strCache>
                <c:ptCount val="1"/>
                <c:pt idx="0">
                  <c:v>Page Views</c:v>
                </c:pt>
              </c:strCache>
            </c:strRef>
          </c:tx>
          <c:spPr>
            <a:ln w="0">
              <a:solidFill>
                <a:srgbClr val="99CC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Direta'!$K$18:$K$24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numCache>
            </c:numRef>
          </c:cat>
          <c:val>
            <c:numRef>
              <c:f>'Venda Direta'!$L$18:$L$24</c:f>
              <c:numCache>
                <c:formatCode>#,##0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24-4A70-899A-A96C8E9E3A77}"/>
            </c:ext>
          </c:extLst>
        </c:ser>
        <c:ser>
          <c:idx val="1"/>
          <c:order val="1"/>
          <c:tx>
            <c:strRef>
              <c:f>'Venda Direta'!$M$17</c:f>
              <c:strCache>
                <c:ptCount val="1"/>
                <c:pt idx="0">
                  <c:v>Active Users</c:v>
                </c:pt>
              </c:strCache>
            </c:strRef>
          </c:tx>
          <c:spPr>
            <a:ln w="0">
              <a:solidFill>
                <a:srgbClr val="99CC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Direta'!$K$18:$K$24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numCache>
            </c:numRef>
          </c:cat>
          <c:val>
            <c:numRef>
              <c:f>'Venda Direta'!$M$18:$M$24</c:f>
              <c:numCache>
                <c:formatCode>#,##0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24-4A70-899A-A96C8E9E3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798437"/>
        <c:axId val="69022709"/>
      </c:lineChart>
      <c:catAx>
        <c:axId val="817984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9022709"/>
        <c:crosses val="autoZero"/>
        <c:auto val="1"/>
        <c:lblAlgn val="ctr"/>
        <c:lblOffset val="100"/>
        <c:noMultiLvlLbl val="0"/>
      </c:catAx>
      <c:valAx>
        <c:axId val="690227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1798437"/>
        <c:crossesAt val="1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Vender — GA (7 dias) 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Direta'!$L$28</c:f>
              <c:strCache>
                <c:ptCount val="1"/>
                <c:pt idx="0">
                  <c:v>Page Views</c:v>
                </c:pt>
              </c:strCache>
            </c:strRef>
          </c:tx>
          <c:spPr>
            <a:ln w="0">
              <a:solidFill>
                <a:srgbClr val="99CC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Direta'!$K$29:$K$35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numCache>
            </c:numRef>
          </c:cat>
          <c:val>
            <c:numRef>
              <c:f>'Venda Direta'!$L$29:$L$35</c:f>
              <c:numCache>
                <c:formatCode>#,##0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8A-43EC-A89B-ED1255B8AE04}"/>
            </c:ext>
          </c:extLst>
        </c:ser>
        <c:ser>
          <c:idx val="1"/>
          <c:order val="1"/>
          <c:tx>
            <c:strRef>
              <c:f>'Venda Direta'!$M$28</c:f>
              <c:strCache>
                <c:ptCount val="1"/>
                <c:pt idx="0">
                  <c:v>Active Users</c:v>
                </c:pt>
              </c:strCache>
            </c:strRef>
          </c:tx>
          <c:spPr>
            <a:ln w="0">
              <a:solidFill>
                <a:srgbClr val="99CC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Direta'!$K$29:$K$35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numCache>
            </c:numRef>
          </c:cat>
          <c:val>
            <c:numRef>
              <c:f>'Venda Direta'!$M$29:$M$35</c:f>
              <c:numCache>
                <c:formatCode>#,##0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38A-43EC-A89B-ED1255B8A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04781"/>
        <c:axId val="5369002"/>
      </c:lineChart>
      <c:catAx>
        <c:axId val="22047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369002"/>
        <c:crosses val="autoZero"/>
        <c:auto val="1"/>
        <c:lblAlgn val="ctr"/>
        <c:lblOffset val="100"/>
        <c:noMultiLvlLbl val="0"/>
      </c:catAx>
      <c:valAx>
        <c:axId val="536900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2047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Direta'!$N$17</c:f>
              <c:strCache>
                <c:ptCount val="1"/>
                <c:pt idx="0">
                  <c:v>New Users</c:v>
                </c:pt>
              </c:strCache>
            </c:strRef>
          </c:tx>
          <c:spPr>
            <a:ln w="0">
              <a:solidFill>
                <a:srgbClr val="99CC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Direta'!$K$18:$K$24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numCache>
            </c:numRef>
          </c:cat>
          <c:val>
            <c:numRef>
              <c:f>'Venda Direta'!$N$18:$N$24</c:f>
              <c:numCache>
                <c:formatCode>#,##0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81-40CE-9257-F10632282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130079"/>
        <c:axId val="22895"/>
      </c:lineChart>
      <c:catAx>
        <c:axId val="491300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2895"/>
        <c:crosses val="autoZero"/>
        <c:auto val="1"/>
        <c:lblAlgn val="ctr"/>
        <c:lblOffset val="100"/>
        <c:noMultiLvlLbl val="0"/>
      </c:catAx>
      <c:valAx>
        <c:axId val="228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91300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Vender — GA (7 dias) 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Direta'!$N$28</c:f>
              <c:strCache>
                <c:ptCount val="1"/>
                <c:pt idx="0">
                  <c:v>New Users</c:v>
                </c:pt>
              </c:strCache>
            </c:strRef>
          </c:tx>
          <c:spPr>
            <a:ln w="0">
              <a:solidFill>
                <a:srgbClr val="99CC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Direta'!$K$29:$K$35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numCache>
            </c:numRef>
          </c:cat>
          <c:val>
            <c:numRef>
              <c:f>'Venda Direta'!$N$29:$N$35</c:f>
              <c:numCache>
                <c:formatCode>#,##0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B3-438E-B667-25081D675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533097"/>
        <c:axId val="82736228"/>
      </c:lineChart>
      <c:catAx>
        <c:axId val="355330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2736228"/>
        <c:crosses val="autoZero"/>
        <c:auto val="1"/>
        <c:lblAlgn val="ctr"/>
        <c:lblOffset val="100"/>
        <c:noMultiLvlLbl val="0"/>
      </c:catAx>
      <c:valAx>
        <c:axId val="827362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55330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Direta'!$Q$17</c:f>
              <c:strCache>
                <c:ptCount val="1"/>
                <c:pt idx="0">
                  <c:v>Page Views</c:v>
                </c:pt>
              </c:strCache>
            </c:strRef>
          </c:tx>
          <c:spPr>
            <a:ln w="0">
              <a:solidFill>
                <a:srgbClr val="99CC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Direta'!$P$18:$P$24</c:f>
              <c:numCache>
                <c:formatCode>General</c:formatCode>
                <c:ptCount val="7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</c:numCache>
            </c:numRef>
          </c:cat>
          <c:val>
            <c:numRef>
              <c:f>'Venda Direta'!$Q$18:$Q$24</c:f>
              <c:numCache>
                <c:formatCode>#,##0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75-4925-9248-DDAC4C37B132}"/>
            </c:ext>
          </c:extLst>
        </c:ser>
        <c:ser>
          <c:idx val="1"/>
          <c:order val="1"/>
          <c:tx>
            <c:strRef>
              <c:f>'Venda Direta'!$R$17</c:f>
              <c:strCache>
                <c:ptCount val="1"/>
                <c:pt idx="0">
                  <c:v>Active Users</c:v>
                </c:pt>
              </c:strCache>
            </c:strRef>
          </c:tx>
          <c:spPr>
            <a:ln w="0">
              <a:solidFill>
                <a:srgbClr val="99CC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Direta'!$P$18:$P$24</c:f>
              <c:numCache>
                <c:formatCode>General</c:formatCode>
                <c:ptCount val="7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</c:numCache>
            </c:numRef>
          </c:cat>
          <c:val>
            <c:numRef>
              <c:f>'Venda Direta'!$R$18:$R$24</c:f>
              <c:numCache>
                <c:formatCode>#,##0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75-4925-9248-DDAC4C37B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076108"/>
        <c:axId val="29104632"/>
      </c:lineChart>
      <c:catAx>
        <c:axId val="430761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9104632"/>
        <c:crosses val="autoZero"/>
        <c:auto val="1"/>
        <c:lblAlgn val="ctr"/>
        <c:lblOffset val="100"/>
        <c:noMultiLvlLbl val="0"/>
      </c:catAx>
      <c:valAx>
        <c:axId val="291046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3076108"/>
        <c:crossesAt val="1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Vender — GA (7 dias) 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Direta'!$Q$28</c:f>
              <c:strCache>
                <c:ptCount val="1"/>
                <c:pt idx="0">
                  <c:v>Page Views</c:v>
                </c:pt>
              </c:strCache>
            </c:strRef>
          </c:tx>
          <c:spPr>
            <a:ln w="0">
              <a:solidFill>
                <a:srgbClr val="99CC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Direta'!$P$29:$P$35</c:f>
              <c:numCache>
                <c:formatCode>General</c:formatCode>
                <c:ptCount val="7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</c:numCache>
            </c:numRef>
          </c:cat>
          <c:val>
            <c:numRef>
              <c:f>'Venda Direta'!$Q$29:$Q$35</c:f>
              <c:numCache>
                <c:formatCode>#,##0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97-4FB2-A6B9-96929915165A}"/>
            </c:ext>
          </c:extLst>
        </c:ser>
        <c:ser>
          <c:idx val="1"/>
          <c:order val="1"/>
          <c:tx>
            <c:strRef>
              <c:f>'Venda Direta'!$R$28</c:f>
              <c:strCache>
                <c:ptCount val="1"/>
                <c:pt idx="0">
                  <c:v>Active Users</c:v>
                </c:pt>
              </c:strCache>
            </c:strRef>
          </c:tx>
          <c:spPr>
            <a:ln w="0">
              <a:solidFill>
                <a:srgbClr val="99CC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Direta'!$P$29:$P$35</c:f>
              <c:numCache>
                <c:formatCode>General</c:formatCode>
                <c:ptCount val="7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</c:numCache>
            </c:numRef>
          </c:cat>
          <c:val>
            <c:numRef>
              <c:f>'Venda Direta'!$R$29:$R$35</c:f>
              <c:numCache>
                <c:formatCode>#,##0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B97-4FB2-A6B9-969299151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030812"/>
        <c:axId val="90612585"/>
      </c:lineChart>
      <c:catAx>
        <c:axId val="990308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0612585"/>
        <c:crosses val="autoZero"/>
        <c:auto val="1"/>
        <c:lblAlgn val="ctr"/>
        <c:lblOffset val="100"/>
        <c:noMultiLvlLbl val="0"/>
      </c:catAx>
      <c:valAx>
        <c:axId val="9061258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90308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Comprar — GA (7 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Direta'!$S$17</c:f>
              <c:strCache>
                <c:ptCount val="1"/>
                <c:pt idx="0">
                  <c:v>New Users</c:v>
                </c:pt>
              </c:strCache>
            </c:strRef>
          </c:tx>
          <c:spPr>
            <a:ln w="0">
              <a:solidFill>
                <a:srgbClr val="99CC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Direta'!$P$18:$P$24</c:f>
              <c:numCache>
                <c:formatCode>General</c:formatCode>
                <c:ptCount val="7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</c:numCache>
            </c:numRef>
          </c:cat>
          <c:val>
            <c:numRef>
              <c:f>'Venda Direta'!$S$18:$S$24</c:f>
              <c:numCache>
                <c:formatCode>#,##0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1C-4C56-852A-5D3A6420E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68678"/>
        <c:axId val="23426907"/>
      </c:lineChart>
      <c:catAx>
        <c:axId val="77686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3426907"/>
        <c:crosses val="autoZero"/>
        <c:auto val="1"/>
        <c:lblAlgn val="ctr"/>
        <c:lblOffset val="100"/>
        <c:noMultiLvlLbl val="0"/>
      </c:catAx>
      <c:valAx>
        <c:axId val="234269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7686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Vender — GA (7 dias) 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'Venda Direta'!$S$28</c:f>
              <c:strCache>
                <c:ptCount val="1"/>
                <c:pt idx="0">
                  <c:v>New Users</c:v>
                </c:pt>
              </c:strCache>
            </c:strRef>
          </c:tx>
          <c:spPr>
            <a:ln w="0">
              <a:solidFill>
                <a:srgbClr val="99CC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'Venda Direta'!$P$29:$P$35</c:f>
              <c:numCache>
                <c:formatCode>General</c:formatCode>
                <c:ptCount val="7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</c:numCache>
            </c:numRef>
          </c:cat>
          <c:val>
            <c:numRef>
              <c:f>'Venda Direta'!$S$29:$S$35</c:f>
              <c:numCache>
                <c:formatCode>#,##0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DD-415D-BF54-3EAC3A25A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165643"/>
        <c:axId val="81703864"/>
      </c:lineChart>
      <c:catAx>
        <c:axId val="761656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1703864"/>
        <c:crosses val="autoZero"/>
        <c:auto val="1"/>
        <c:lblAlgn val="ctr"/>
        <c:lblOffset val="100"/>
        <c:noMultiLvlLbl val="0"/>
      </c:catAx>
      <c:valAx>
        <c:axId val="817038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61656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Porto — Views &amp; Active Users por Leilão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Macro'!$G$92</c:f>
              <c:strCache>
                <c:ptCount val="1"/>
                <c:pt idx="0">
                  <c:v>Views</c:v>
                </c:pt>
              </c:strCache>
            </c:strRef>
          </c:tx>
          <c:spPr>
            <a:ln w="284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Macro'!$B$93:$B$96</c:f>
              <c:numCache>
                <c:formatCode>dd/mm</c:formatCode>
                <c:ptCount val="4"/>
                <c:pt idx="0">
                  <c:v>46266</c:v>
                </c:pt>
                <c:pt idx="1">
                  <c:v>46273</c:v>
                </c:pt>
              </c:numCache>
            </c:numRef>
          </c:cat>
          <c:val>
            <c:numRef>
              <c:f>'Leilão - Macro'!$G$93:$G$96</c:f>
              <c:numCache>
                <c:formatCode>#,##0</c:formatCode>
                <c:ptCount val="4"/>
                <c:pt idx="0">
                  <c:v>80326</c:v>
                </c:pt>
                <c:pt idx="1">
                  <c:v>89998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F-4A79-9882-121E2533AABE}"/>
            </c:ext>
          </c:extLst>
        </c:ser>
        <c:ser>
          <c:idx val="1"/>
          <c:order val="1"/>
          <c:tx>
            <c:strRef>
              <c:f>'Leilão - Macro'!$H$92</c:f>
              <c:strCache>
                <c:ptCount val="1"/>
                <c:pt idx="0">
                  <c:v>Active Users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Macro'!$B$93:$B$96</c:f>
              <c:numCache>
                <c:formatCode>dd/mm</c:formatCode>
                <c:ptCount val="4"/>
                <c:pt idx="0">
                  <c:v>46266</c:v>
                </c:pt>
                <c:pt idx="1">
                  <c:v>46273</c:v>
                </c:pt>
              </c:numCache>
            </c:numRef>
          </c:cat>
          <c:val>
            <c:numRef>
              <c:f>'Leilão - Macro'!$H$93:$H$96</c:f>
              <c:numCache>
                <c:formatCode>#,##0</c:formatCode>
                <c:ptCount val="4"/>
                <c:pt idx="0">
                  <c:v>15039</c:v>
                </c:pt>
                <c:pt idx="1">
                  <c:v>12257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0F-4A79-9882-121E2533A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3971550"/>
        <c:axId val="24651363"/>
      </c:lineChart>
      <c:dateAx>
        <c:axId val="639715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4651363"/>
        <c:crosses val="autoZero"/>
        <c:auto val="1"/>
        <c:lblOffset val="100"/>
        <c:baseTimeUnit val="days"/>
      </c:dateAx>
      <c:valAx>
        <c:axId val="246513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Usuários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39715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Porto — New Users por Leilão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Macro'!$I$92</c:f>
              <c:strCache>
                <c:ptCount val="1"/>
                <c:pt idx="0">
                  <c:v>New Users</c:v>
                </c:pt>
              </c:strCache>
            </c:strRef>
          </c:tx>
          <c:spPr>
            <a:ln w="2844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Macro'!$B$93:$B$96</c:f>
              <c:numCache>
                <c:formatCode>dd/mm</c:formatCode>
                <c:ptCount val="4"/>
                <c:pt idx="0">
                  <c:v>46266</c:v>
                </c:pt>
                <c:pt idx="1">
                  <c:v>46273</c:v>
                </c:pt>
              </c:numCache>
            </c:numRef>
          </c:cat>
          <c:val>
            <c:numRef>
              <c:f>'Leilão - Macro'!$I$93:$I$96</c:f>
              <c:numCache>
                <c:formatCode>#,##0</c:formatCode>
                <c:ptCount val="4"/>
                <c:pt idx="0">
                  <c:v>387</c:v>
                </c:pt>
                <c:pt idx="1">
                  <c:v>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B-4DBD-A5E1-D688127C5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2770659"/>
        <c:axId val="72631159"/>
      </c:lineChart>
      <c:dateAx>
        <c:axId val="127706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2631159"/>
        <c:crosses val="autoZero"/>
        <c:auto val="1"/>
        <c:lblOffset val="100"/>
        <c:baseTimeUnit val="days"/>
      </c:dateAx>
      <c:valAx>
        <c:axId val="726311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27706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Bradesco — Views &amp; Active Users por Leilão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Macro'!$G$112</c:f>
              <c:strCache>
                <c:ptCount val="1"/>
                <c:pt idx="0">
                  <c:v>Views</c:v>
                </c:pt>
              </c:strCache>
            </c:strRef>
          </c:tx>
          <c:spPr>
            <a:ln w="284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Macro'!$B$113:$B$116</c:f>
              <c:numCache>
                <c:formatCode>d\-mmm</c:formatCode>
                <c:ptCount val="4"/>
                <c:pt idx="0">
                  <c:v>46269</c:v>
                </c:pt>
                <c:pt idx="1">
                  <c:v>46276</c:v>
                </c:pt>
              </c:numCache>
            </c:numRef>
          </c:cat>
          <c:val>
            <c:numRef>
              <c:f>'Leilão - Macro'!$G$113:$G$116</c:f>
              <c:numCache>
                <c:formatCode>#,##0</c:formatCode>
                <c:ptCount val="4"/>
                <c:pt idx="0">
                  <c:v>77864</c:v>
                </c:pt>
                <c:pt idx="1">
                  <c:v>78274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7C-4543-9A8B-3ADFFF785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160857"/>
        <c:axId val="5318299"/>
      </c:lineChart>
      <c:dateAx>
        <c:axId val="621608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318299"/>
        <c:crosses val="autoZero"/>
        <c:auto val="1"/>
        <c:lblOffset val="100"/>
        <c:baseTimeUnit val="days"/>
      </c:dateAx>
      <c:valAx>
        <c:axId val="53182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Usuários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21608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Bradesco — New Users por Leilão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Macro'!$I$112</c:f>
              <c:strCache>
                <c:ptCount val="1"/>
                <c:pt idx="0">
                  <c:v>New Users</c:v>
                </c:pt>
              </c:strCache>
            </c:strRef>
          </c:tx>
          <c:spPr>
            <a:ln w="2844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Macro'!$B$113:$B$116</c:f>
              <c:numCache>
                <c:formatCode>d\-mmm</c:formatCode>
                <c:ptCount val="4"/>
                <c:pt idx="0">
                  <c:v>46269</c:v>
                </c:pt>
                <c:pt idx="1">
                  <c:v>46276</c:v>
                </c:pt>
              </c:numCache>
            </c:numRef>
          </c:cat>
          <c:val>
            <c:numRef>
              <c:f>'Leilão - Macro'!$I$113:$I$116</c:f>
              <c:numCache>
                <c:formatCode>#,##0</c:formatCode>
                <c:ptCount val="4"/>
                <c:pt idx="0">
                  <c:v>216</c:v>
                </c:pt>
                <c:pt idx="1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5-4822-A32D-DFF36CA60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8020766"/>
        <c:axId val="9304433"/>
      </c:lineChart>
      <c:dateAx>
        <c:axId val="280207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304433"/>
        <c:crosses val="autoZero"/>
        <c:auto val="1"/>
        <c:lblOffset val="100"/>
        <c:baseTimeUnit val="days"/>
      </c:dateAx>
      <c:valAx>
        <c:axId val="93044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80207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Santander — Views &amp; Active Users por Leilão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Macro'!$G$132</c:f>
              <c:strCache>
                <c:ptCount val="1"/>
                <c:pt idx="0">
                  <c:v>Views</c:v>
                </c:pt>
              </c:strCache>
            </c:strRef>
          </c:tx>
          <c:spPr>
            <a:ln w="284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Macro'!$B$133:$B$140</c:f>
              <c:numCache>
                <c:formatCode>dd/mm</c:formatCode>
                <c:ptCount val="8"/>
                <c:pt idx="0">
                  <c:v>46268</c:v>
                </c:pt>
                <c:pt idx="1">
                  <c:v>46269</c:v>
                </c:pt>
                <c:pt idx="2">
                  <c:v>46275</c:v>
                </c:pt>
                <c:pt idx="3">
                  <c:v>46276</c:v>
                </c:pt>
              </c:numCache>
            </c:numRef>
          </c:cat>
          <c:val>
            <c:numRef>
              <c:f>'Leilão - Macro'!$G$133:$G$140</c:f>
              <c:numCache>
                <c:formatCode>#,##0</c:formatCode>
                <c:ptCount val="8"/>
                <c:pt idx="0">
                  <c:v>49231</c:v>
                </c:pt>
                <c:pt idx="1">
                  <c:v>77864</c:v>
                </c:pt>
                <c:pt idx="2">
                  <c:v>47980</c:v>
                </c:pt>
                <c:pt idx="3">
                  <c:v>40951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0-4003-8D3B-6ABA05C57EB5}"/>
            </c:ext>
          </c:extLst>
        </c:ser>
        <c:ser>
          <c:idx val="1"/>
          <c:order val="1"/>
          <c:tx>
            <c:strRef>
              <c:f>'Leilão - Macro'!$H$132</c:f>
              <c:strCache>
                <c:ptCount val="1"/>
                <c:pt idx="0">
                  <c:v>Active Users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Macro'!$B$133:$B$140</c:f>
              <c:numCache>
                <c:formatCode>dd/mm</c:formatCode>
                <c:ptCount val="8"/>
                <c:pt idx="0">
                  <c:v>46268</c:v>
                </c:pt>
                <c:pt idx="1">
                  <c:v>46269</c:v>
                </c:pt>
                <c:pt idx="2">
                  <c:v>46275</c:v>
                </c:pt>
                <c:pt idx="3">
                  <c:v>46276</c:v>
                </c:pt>
              </c:numCache>
            </c:numRef>
          </c:cat>
          <c:val>
            <c:numRef>
              <c:f>'Leilão - Macro'!$H$133:$H$140</c:f>
              <c:numCache>
                <c:formatCode>#,##0</c:formatCode>
                <c:ptCount val="8"/>
                <c:pt idx="0">
                  <c:v>9993</c:v>
                </c:pt>
                <c:pt idx="1">
                  <c:v>9553</c:v>
                </c:pt>
                <c:pt idx="2">
                  <c:v>6810</c:v>
                </c:pt>
                <c:pt idx="3">
                  <c:v>6723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0-4003-8D3B-6ABA05C57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052061"/>
        <c:axId val="97698178"/>
      </c:lineChart>
      <c:dateAx>
        <c:axId val="26052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7698178"/>
        <c:crosses val="autoZero"/>
        <c:auto val="1"/>
        <c:lblOffset val="100"/>
        <c:baseTimeUnit val="days"/>
      </c:dateAx>
      <c:valAx>
        <c:axId val="976981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Usuários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60520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Santander — New Users por Leilão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Macro'!$I$132</c:f>
              <c:strCache>
                <c:ptCount val="1"/>
                <c:pt idx="0">
                  <c:v>New Users</c:v>
                </c:pt>
              </c:strCache>
            </c:strRef>
          </c:tx>
          <c:spPr>
            <a:ln w="2844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Macro'!$B$133:$B$140</c:f>
              <c:numCache>
                <c:formatCode>dd/mm</c:formatCode>
                <c:ptCount val="8"/>
                <c:pt idx="0">
                  <c:v>46268</c:v>
                </c:pt>
                <c:pt idx="1">
                  <c:v>46269</c:v>
                </c:pt>
                <c:pt idx="2">
                  <c:v>46275</c:v>
                </c:pt>
                <c:pt idx="3">
                  <c:v>46276</c:v>
                </c:pt>
              </c:numCache>
            </c:numRef>
          </c:cat>
          <c:val>
            <c:numRef>
              <c:f>'Leilão - Macro'!$I$133:$I$140</c:f>
              <c:numCache>
                <c:formatCode>#,##0</c:formatCode>
                <c:ptCount val="8"/>
                <c:pt idx="0">
                  <c:v>412</c:v>
                </c:pt>
                <c:pt idx="1">
                  <c:v>216</c:v>
                </c:pt>
                <c:pt idx="2">
                  <c:v>241</c:v>
                </c:pt>
                <c:pt idx="3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DF-4AB1-9F06-8A4A60B1A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3046256"/>
        <c:axId val="57817845"/>
      </c:lineChart>
      <c:dateAx>
        <c:axId val="130462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7817845"/>
        <c:crosses val="autoZero"/>
        <c:auto val="1"/>
        <c:lblOffset val="100"/>
        <c:baseTimeUnit val="days"/>
      </c:dateAx>
      <c:valAx>
        <c:axId val="578178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30462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Goiânia — Views &amp; Active Users por Leilão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Macro'!$G$152</c:f>
              <c:strCache>
                <c:ptCount val="1"/>
                <c:pt idx="0">
                  <c:v>Views</c:v>
                </c:pt>
              </c:strCache>
            </c:strRef>
          </c:tx>
          <c:spPr>
            <a:ln w="284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Macro'!$B$153:$B$163</c:f>
              <c:numCache>
                <c:formatCode>dd/mm</c:formatCode>
                <c:ptCount val="11"/>
                <c:pt idx="0">
                  <c:v>46265</c:v>
                </c:pt>
                <c:pt idx="1">
                  <c:v>46267</c:v>
                </c:pt>
                <c:pt idx="2">
                  <c:v>46267</c:v>
                </c:pt>
                <c:pt idx="3">
                  <c:v>46268</c:v>
                </c:pt>
                <c:pt idx="4">
                  <c:v>46274</c:v>
                </c:pt>
                <c:pt idx="5">
                  <c:v>46274</c:v>
                </c:pt>
              </c:numCache>
            </c:numRef>
          </c:cat>
          <c:val>
            <c:numRef>
              <c:f>'Leilão - Macro'!$G$153:$G$163</c:f>
              <c:numCache>
                <c:formatCode>#,##0</c:formatCode>
                <c:ptCount val="11"/>
                <c:pt idx="0">
                  <c:v>61762</c:v>
                </c:pt>
                <c:pt idx="1">
                  <c:v>67488</c:v>
                </c:pt>
                <c:pt idx="2">
                  <c:v>54833</c:v>
                </c:pt>
                <c:pt idx="3">
                  <c:v>17306</c:v>
                </c:pt>
                <c:pt idx="4">
                  <c:v>74673</c:v>
                </c:pt>
                <c:pt idx="5">
                  <c:v>52266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5-4143-BB4B-DB481100EB42}"/>
            </c:ext>
          </c:extLst>
        </c:ser>
        <c:ser>
          <c:idx val="1"/>
          <c:order val="1"/>
          <c:tx>
            <c:strRef>
              <c:f>'Leilão - Macro'!$H$152</c:f>
              <c:strCache>
                <c:ptCount val="1"/>
                <c:pt idx="0">
                  <c:v>Active Users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Macro'!$B$153:$B$163</c:f>
              <c:numCache>
                <c:formatCode>dd/mm</c:formatCode>
                <c:ptCount val="11"/>
                <c:pt idx="0">
                  <c:v>46265</c:v>
                </c:pt>
                <c:pt idx="1">
                  <c:v>46267</c:v>
                </c:pt>
                <c:pt idx="2">
                  <c:v>46267</c:v>
                </c:pt>
                <c:pt idx="3">
                  <c:v>46268</c:v>
                </c:pt>
                <c:pt idx="4">
                  <c:v>46274</c:v>
                </c:pt>
                <c:pt idx="5">
                  <c:v>46274</c:v>
                </c:pt>
              </c:numCache>
            </c:numRef>
          </c:cat>
          <c:val>
            <c:numRef>
              <c:f>'Leilão - Macro'!$H$153:$H$163</c:f>
              <c:numCache>
                <c:formatCode>#,##0</c:formatCode>
                <c:ptCount val="11"/>
                <c:pt idx="0">
                  <c:v>10985</c:v>
                </c:pt>
                <c:pt idx="1">
                  <c:v>12371</c:v>
                </c:pt>
                <c:pt idx="2">
                  <c:v>9962</c:v>
                </c:pt>
                <c:pt idx="3">
                  <c:v>5495</c:v>
                </c:pt>
                <c:pt idx="4">
                  <c:v>8678</c:v>
                </c:pt>
                <c:pt idx="5">
                  <c:v>7104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65-4143-BB4B-DB481100E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9528130"/>
        <c:axId val="50479380"/>
      </c:lineChart>
      <c:dateAx>
        <c:axId val="395281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0479380"/>
        <c:crosses val="autoZero"/>
        <c:auto val="1"/>
        <c:lblOffset val="100"/>
        <c:baseTimeUnit val="days"/>
      </c:dateAx>
      <c:valAx>
        <c:axId val="504793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Usuários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95281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Goiânia — New Users por Leilão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Macro'!$I$152</c:f>
              <c:strCache>
                <c:ptCount val="1"/>
                <c:pt idx="0">
                  <c:v>New Users</c:v>
                </c:pt>
              </c:strCache>
            </c:strRef>
          </c:tx>
          <c:spPr>
            <a:ln w="2844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Macro'!$B$153:$B$163</c:f>
              <c:numCache>
                <c:formatCode>dd/mm</c:formatCode>
                <c:ptCount val="11"/>
                <c:pt idx="0">
                  <c:v>46265</c:v>
                </c:pt>
                <c:pt idx="1">
                  <c:v>46267</c:v>
                </c:pt>
                <c:pt idx="2">
                  <c:v>46267</c:v>
                </c:pt>
                <c:pt idx="3">
                  <c:v>46268</c:v>
                </c:pt>
                <c:pt idx="4">
                  <c:v>46274</c:v>
                </c:pt>
                <c:pt idx="5">
                  <c:v>46274</c:v>
                </c:pt>
              </c:numCache>
            </c:numRef>
          </c:cat>
          <c:val>
            <c:numRef>
              <c:f>'Leilão - Macro'!$I$153:$I$163</c:f>
              <c:numCache>
                <c:formatCode>#,##0</c:formatCode>
                <c:ptCount val="11"/>
                <c:pt idx="0">
                  <c:v>389</c:v>
                </c:pt>
                <c:pt idx="1">
                  <c:v>312</c:v>
                </c:pt>
                <c:pt idx="2">
                  <c:v>292</c:v>
                </c:pt>
                <c:pt idx="3">
                  <c:v>100</c:v>
                </c:pt>
                <c:pt idx="4">
                  <c:v>198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4C-4A1B-A76F-02A8F558F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805481"/>
        <c:axId val="71578442"/>
      </c:lineChart>
      <c:dateAx>
        <c:axId val="388054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1578442"/>
        <c:crosses val="autoZero"/>
        <c:auto val="1"/>
        <c:lblOffset val="100"/>
        <c:baseTimeUnit val="days"/>
      </c:dateAx>
      <c:valAx>
        <c:axId val="715784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88054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Curitiba — Views &amp; Active Users por Leilão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Macro'!$G$172</c:f>
              <c:strCache>
                <c:ptCount val="1"/>
                <c:pt idx="0">
                  <c:v>Views</c:v>
                </c:pt>
              </c:strCache>
            </c:strRef>
          </c:tx>
          <c:spPr>
            <a:ln w="284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Macro'!$B$173:$B$180</c:f>
              <c:numCache>
                <c:formatCode>dd/mm</c:formatCode>
                <c:ptCount val="8"/>
                <c:pt idx="0">
                  <c:v>46266</c:v>
                </c:pt>
                <c:pt idx="1">
                  <c:v>46266</c:v>
                </c:pt>
                <c:pt idx="2">
                  <c:v>46273</c:v>
                </c:pt>
                <c:pt idx="3">
                  <c:v>46273</c:v>
                </c:pt>
              </c:numCache>
            </c:numRef>
          </c:cat>
          <c:val>
            <c:numRef>
              <c:f>'Leilão - Macro'!$G$173:$G$180</c:f>
              <c:numCache>
                <c:formatCode>#,##0</c:formatCode>
                <c:ptCount val="8"/>
                <c:pt idx="0">
                  <c:v>101088</c:v>
                </c:pt>
                <c:pt idx="1">
                  <c:v>103527</c:v>
                </c:pt>
                <c:pt idx="2">
                  <c:v>72243</c:v>
                </c:pt>
                <c:pt idx="3">
                  <c:v>62770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E-449B-B9F6-C9D5FC91EB96}"/>
            </c:ext>
          </c:extLst>
        </c:ser>
        <c:ser>
          <c:idx val="1"/>
          <c:order val="1"/>
          <c:tx>
            <c:strRef>
              <c:f>'Leilão - Macro'!$H$172</c:f>
              <c:strCache>
                <c:ptCount val="1"/>
                <c:pt idx="0">
                  <c:v>Active Users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Macro'!$B$173:$B$180</c:f>
              <c:numCache>
                <c:formatCode>dd/mm</c:formatCode>
                <c:ptCount val="8"/>
                <c:pt idx="0">
                  <c:v>46266</c:v>
                </c:pt>
                <c:pt idx="1">
                  <c:v>46266</c:v>
                </c:pt>
                <c:pt idx="2">
                  <c:v>46273</c:v>
                </c:pt>
                <c:pt idx="3">
                  <c:v>46273</c:v>
                </c:pt>
              </c:numCache>
            </c:numRef>
          </c:cat>
          <c:val>
            <c:numRef>
              <c:f>'Leilão - Macro'!$H$173:$H$180</c:f>
              <c:numCache>
                <c:formatCode>#,##0</c:formatCode>
                <c:ptCount val="8"/>
                <c:pt idx="0">
                  <c:v>14809</c:v>
                </c:pt>
                <c:pt idx="1">
                  <c:v>12863</c:v>
                </c:pt>
                <c:pt idx="2">
                  <c:v>8769</c:v>
                </c:pt>
                <c:pt idx="3">
                  <c:v>6877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7E-449B-B9F6-C9D5FC91E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5405776"/>
        <c:axId val="6098172"/>
      </c:lineChart>
      <c:dateAx>
        <c:axId val="754057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098172"/>
        <c:crosses val="autoZero"/>
        <c:auto val="1"/>
        <c:lblOffset val="100"/>
        <c:baseTimeUnit val="days"/>
      </c:dateAx>
      <c:valAx>
        <c:axId val="60981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Usuários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5405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Curitiba — New Users por Leilão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Macro'!$I$172</c:f>
              <c:strCache>
                <c:ptCount val="1"/>
                <c:pt idx="0">
                  <c:v>New Users</c:v>
                </c:pt>
              </c:strCache>
            </c:strRef>
          </c:tx>
          <c:spPr>
            <a:ln w="2844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'Leilão - Macro'!$B$173:$B$180</c:f>
              <c:numCache>
                <c:formatCode>dd/mm</c:formatCode>
                <c:ptCount val="8"/>
                <c:pt idx="0">
                  <c:v>46266</c:v>
                </c:pt>
                <c:pt idx="1">
                  <c:v>46266</c:v>
                </c:pt>
                <c:pt idx="2">
                  <c:v>46273</c:v>
                </c:pt>
                <c:pt idx="3">
                  <c:v>46273</c:v>
                </c:pt>
              </c:numCache>
            </c:numRef>
          </c:cat>
          <c:val>
            <c:numRef>
              <c:f>'Leilão - Macro'!$I$173:$I$180</c:f>
              <c:numCache>
                <c:formatCode>#,##0</c:formatCode>
                <c:ptCount val="8"/>
                <c:pt idx="0">
                  <c:v>384</c:v>
                </c:pt>
                <c:pt idx="1">
                  <c:v>331</c:v>
                </c:pt>
                <c:pt idx="2">
                  <c:v>173</c:v>
                </c:pt>
                <c:pt idx="3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A-4CD2-A8EF-3031D628B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2563131"/>
        <c:axId val="37560167"/>
      </c:lineChart>
      <c:dateAx>
        <c:axId val="125631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7560167"/>
        <c:crosses val="autoZero"/>
        <c:auto val="1"/>
        <c:lblOffset val="100"/>
        <c:baseTimeUnit val="days"/>
      </c:dateAx>
      <c:valAx>
        <c:axId val="375601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25631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Porto — Exito do leilão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Macro'!$D$92</c:f>
              <c:strCache>
                <c:ptCount val="1"/>
                <c:pt idx="0">
                  <c:v>Êxito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'Leilão - Macro'!$B$93:$B$96</c:f>
              <c:numCache>
                <c:formatCode>dd/mm</c:formatCode>
                <c:ptCount val="4"/>
                <c:pt idx="0">
                  <c:v>46266</c:v>
                </c:pt>
                <c:pt idx="1">
                  <c:v>46273</c:v>
                </c:pt>
              </c:numCache>
            </c:numRef>
          </c:cat>
          <c:val>
            <c:numRef>
              <c:f>'Leilão - Macro'!$D$93:$D$96</c:f>
              <c:numCache>
                <c:formatCode>0.0%</c:formatCode>
                <c:ptCount val="4"/>
                <c:pt idx="0">
                  <c:v>0.72289999999999999</c:v>
                </c:pt>
                <c:pt idx="1">
                  <c:v>0.70589999999999997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CE-460B-A8CE-0C88EAB6D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2770659"/>
        <c:axId val="72631159"/>
      </c:lineChart>
      <c:dateAx>
        <c:axId val="127706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631159"/>
        <c:crosses val="autoZero"/>
        <c:auto val="1"/>
        <c:lblOffset val="100"/>
        <c:baseTimeUnit val="days"/>
      </c:dateAx>
      <c:valAx>
        <c:axId val="72631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New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706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Bradesco — Exito do leilão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'Leilão - Macro'!$D$92</c:f>
              <c:strCache>
                <c:ptCount val="1"/>
                <c:pt idx="0">
                  <c:v>Êxito</c:v>
                </c:pt>
              </c:strCache>
            </c:strRef>
          </c:tx>
          <c:marker>
            <c:symbol val="none"/>
          </c:marker>
          <c:cat>
            <c:numRef>
              <c:f>'Leilão - Macro'!$B$113:$B$116</c:f>
              <c:numCache>
                <c:formatCode>d\-mmm</c:formatCode>
                <c:ptCount val="4"/>
                <c:pt idx="0">
                  <c:v>46269</c:v>
                </c:pt>
                <c:pt idx="1">
                  <c:v>46276</c:v>
                </c:pt>
              </c:numCache>
            </c:numRef>
          </c:cat>
          <c:val>
            <c:numRef>
              <c:f>'Leilão - Macro'!$D$113:$D$116</c:f>
              <c:numCache>
                <c:formatCode>0.0%</c:formatCode>
                <c:ptCount val="4"/>
                <c:pt idx="0">
                  <c:v>0.62619999999999998</c:v>
                </c:pt>
                <c:pt idx="1">
                  <c:v>0.60140000000000005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BE-49F2-9CA2-ECCED261B82D}"/>
            </c:ext>
          </c:extLst>
        </c:ser>
        <c:ser>
          <c:idx val="0"/>
          <c:order val="1"/>
          <c:tx>
            <c:strRef>
              <c:f>'Leilão - Macro'!$D$92</c:f>
              <c:strCache>
                <c:ptCount val="1"/>
                <c:pt idx="0">
                  <c:v>Êxito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'Leilão - Macro'!$B$113:$B$116</c:f>
              <c:numCache>
                <c:formatCode>d\-mmm</c:formatCode>
                <c:ptCount val="4"/>
                <c:pt idx="0">
                  <c:v>46269</c:v>
                </c:pt>
                <c:pt idx="1">
                  <c:v>46276</c:v>
                </c:pt>
              </c:numCache>
            </c:numRef>
          </c:cat>
          <c:val>
            <c:numRef>
              <c:f>'Leilão - Macro'!$D$113:$D$116</c:f>
              <c:numCache>
                <c:formatCode>0.0%</c:formatCode>
                <c:ptCount val="4"/>
                <c:pt idx="0">
                  <c:v>0.62619999999999998</c:v>
                </c:pt>
                <c:pt idx="1">
                  <c:v>0.60140000000000005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BE-49F2-9CA2-ECCED261B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2770659"/>
        <c:axId val="72631159"/>
      </c:lineChart>
      <c:dateAx>
        <c:axId val="127706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631159"/>
        <c:crosses val="autoZero"/>
        <c:auto val="1"/>
        <c:lblOffset val="100"/>
        <c:baseTimeUnit val="days"/>
      </c:dateAx>
      <c:valAx>
        <c:axId val="72631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New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70659"/>
        <c:crosses val="autoZero"/>
        <c:crossBetween val="between"/>
      </c:valAx>
    </c:plotArea>
    <c:plotVisOnly val="1"/>
    <c:dispBlanksAs val="gap"/>
    <c:showDLblsOverMax val="1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Santander — </a:t>
            </a:r>
            <a:r>
              <a:rPr lang="pt-BR" sz="11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Exito do leilão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Macro'!$D$132</c:f>
              <c:strCache>
                <c:ptCount val="1"/>
                <c:pt idx="0">
                  <c:v>Êxito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'Leilão - Macro'!$B$133:$B$140</c:f>
              <c:numCache>
                <c:formatCode>dd/mm</c:formatCode>
                <c:ptCount val="8"/>
                <c:pt idx="0">
                  <c:v>46268</c:v>
                </c:pt>
                <c:pt idx="1">
                  <c:v>46269</c:v>
                </c:pt>
                <c:pt idx="2">
                  <c:v>46275</c:v>
                </c:pt>
                <c:pt idx="3">
                  <c:v>46276</c:v>
                </c:pt>
              </c:numCache>
            </c:numRef>
          </c:cat>
          <c:val>
            <c:numRef>
              <c:f>'Leilão - Macro'!$D$133:$D$140</c:f>
              <c:numCache>
                <c:formatCode>0.0%</c:formatCode>
                <c:ptCount val="8"/>
                <c:pt idx="0">
                  <c:v>0.71430000000000005</c:v>
                </c:pt>
                <c:pt idx="1">
                  <c:v>0.42070000000000002</c:v>
                </c:pt>
                <c:pt idx="2">
                  <c:v>0.64770000000000005</c:v>
                </c:pt>
                <c:pt idx="3">
                  <c:v>0.45929999999999999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A-4F91-8C2F-F4AF0ACA2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3046256"/>
        <c:axId val="57817845"/>
      </c:lineChart>
      <c:dateAx>
        <c:axId val="13046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817845"/>
        <c:crosses val="autoZero"/>
        <c:auto val="1"/>
        <c:lblOffset val="100"/>
        <c:baseTimeUnit val="days"/>
      </c:dateAx>
      <c:valAx>
        <c:axId val="578178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New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4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Goiânia — Exito do leilão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Macro'!$I$152</c:f>
              <c:strCache>
                <c:ptCount val="1"/>
                <c:pt idx="0">
                  <c:v>New 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'Leilão - Macro'!$B$153:$B$163</c:f>
              <c:numCache>
                <c:formatCode>dd/mm</c:formatCode>
                <c:ptCount val="11"/>
                <c:pt idx="0">
                  <c:v>46265</c:v>
                </c:pt>
                <c:pt idx="1">
                  <c:v>46267</c:v>
                </c:pt>
                <c:pt idx="2">
                  <c:v>46267</c:v>
                </c:pt>
                <c:pt idx="3">
                  <c:v>46268</c:v>
                </c:pt>
                <c:pt idx="4">
                  <c:v>46274</c:v>
                </c:pt>
                <c:pt idx="5">
                  <c:v>46274</c:v>
                </c:pt>
              </c:numCache>
            </c:numRef>
          </c:cat>
          <c:val>
            <c:numRef>
              <c:f>'Leilão - Macro'!$I$153:$I$163</c:f>
              <c:numCache>
                <c:formatCode>#,##0</c:formatCode>
                <c:ptCount val="11"/>
                <c:pt idx="0">
                  <c:v>389</c:v>
                </c:pt>
                <c:pt idx="1">
                  <c:v>312</c:v>
                </c:pt>
                <c:pt idx="2">
                  <c:v>292</c:v>
                </c:pt>
                <c:pt idx="3">
                  <c:v>100</c:v>
                </c:pt>
                <c:pt idx="4">
                  <c:v>198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6D-4738-A703-C14B83A3B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38805481"/>
        <c:axId val="71578442"/>
      </c:lineChart>
      <c:dateAx>
        <c:axId val="3880548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578442"/>
        <c:crosses val="autoZero"/>
        <c:auto val="1"/>
        <c:lblOffset val="100"/>
        <c:baseTimeUnit val="days"/>
      </c:dateAx>
      <c:valAx>
        <c:axId val="715784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New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0548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Curitiba — Exito do leilão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'Leilão - Macro'!$D$172</c:f>
              <c:strCache>
                <c:ptCount val="1"/>
                <c:pt idx="0">
                  <c:v>Êxito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'Leilão - Macro'!$B$173:$B$180</c:f>
              <c:numCache>
                <c:formatCode>dd/mm</c:formatCode>
                <c:ptCount val="8"/>
                <c:pt idx="0">
                  <c:v>46266</c:v>
                </c:pt>
                <c:pt idx="1">
                  <c:v>46266</c:v>
                </c:pt>
                <c:pt idx="2">
                  <c:v>46273</c:v>
                </c:pt>
                <c:pt idx="3">
                  <c:v>46273</c:v>
                </c:pt>
              </c:numCache>
            </c:numRef>
          </c:cat>
          <c:val>
            <c:numRef>
              <c:f>'Leilão - Macro'!$D$173:$D$180</c:f>
              <c:numCache>
                <c:formatCode>0.0%</c:formatCode>
                <c:ptCount val="8"/>
                <c:pt idx="0">
                  <c:v>0.61070000000000002</c:v>
                </c:pt>
                <c:pt idx="1">
                  <c:v>0.64349999999999996</c:v>
                </c:pt>
                <c:pt idx="2">
                  <c:v>0.52659999999999996</c:v>
                </c:pt>
                <c:pt idx="3">
                  <c:v>0.57210000000000005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1F-4D81-9714-38C44811C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2563131"/>
        <c:axId val="37560167"/>
      </c:lineChart>
      <c:dateAx>
        <c:axId val="125631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560167"/>
        <c:crosses val="autoZero"/>
        <c:auto val="1"/>
        <c:lblOffset val="100"/>
        <c:baseTimeUnit val="days"/>
      </c:dateAx>
      <c:valAx>
        <c:axId val="37560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New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31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6" Type="http://schemas.openxmlformats.org/officeDocument/2006/relationships/chart" Target="../charts/chart24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13" Type="http://schemas.openxmlformats.org/officeDocument/2006/relationships/chart" Target="../charts/chart36.xml"/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12" Type="http://schemas.openxmlformats.org/officeDocument/2006/relationships/chart" Target="../charts/chart35.xml"/><Relationship Id="rId2" Type="http://schemas.openxmlformats.org/officeDocument/2006/relationships/chart" Target="../charts/chart25.xml"/><Relationship Id="rId16" Type="http://schemas.openxmlformats.org/officeDocument/2006/relationships/chart" Target="../charts/chart39.xml"/><Relationship Id="rId1" Type="http://schemas.openxmlformats.org/officeDocument/2006/relationships/image" Target="../media/image2.png"/><Relationship Id="rId6" Type="http://schemas.openxmlformats.org/officeDocument/2006/relationships/chart" Target="../charts/chart29.xml"/><Relationship Id="rId11" Type="http://schemas.openxmlformats.org/officeDocument/2006/relationships/chart" Target="../charts/chart34.xml"/><Relationship Id="rId5" Type="http://schemas.openxmlformats.org/officeDocument/2006/relationships/chart" Target="../charts/chart28.xml"/><Relationship Id="rId15" Type="http://schemas.openxmlformats.org/officeDocument/2006/relationships/chart" Target="../charts/chart38.xml"/><Relationship Id="rId10" Type="http://schemas.openxmlformats.org/officeDocument/2006/relationships/chart" Target="../charts/chart33.xml"/><Relationship Id="rId4" Type="http://schemas.openxmlformats.org/officeDocument/2006/relationships/chart" Target="../charts/chart27.xml"/><Relationship Id="rId9" Type="http://schemas.openxmlformats.org/officeDocument/2006/relationships/chart" Target="../charts/chart32.xml"/><Relationship Id="rId14" Type="http://schemas.openxmlformats.org/officeDocument/2006/relationships/chart" Target="../charts/chart3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572400</xdr:colOff>
      <xdr:row>16</xdr:row>
      <xdr:rowOff>36720</xdr:rowOff>
    </xdr:from>
    <xdr:to>
      <xdr:col>35</xdr:col>
      <xdr:colOff>523145</xdr:colOff>
      <xdr:row>30</xdr:row>
      <xdr:rowOff>105055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36</xdr:col>
      <xdr:colOff>104760</xdr:colOff>
      <xdr:row>0</xdr:row>
      <xdr:rowOff>244800</xdr:rowOff>
    </xdr:from>
    <xdr:to>
      <xdr:col>44</xdr:col>
      <xdr:colOff>502625</xdr:colOff>
      <xdr:row>14</xdr:row>
      <xdr:rowOff>171000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26</xdr:col>
      <xdr:colOff>500040</xdr:colOff>
      <xdr:row>0</xdr:row>
      <xdr:rowOff>230400</xdr:rowOff>
    </xdr:from>
    <xdr:to>
      <xdr:col>35</xdr:col>
      <xdr:colOff>570140</xdr:colOff>
      <xdr:row>15</xdr:row>
      <xdr:rowOff>123415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36</xdr:col>
      <xdr:colOff>136440</xdr:colOff>
      <xdr:row>15</xdr:row>
      <xdr:rowOff>102960</xdr:rowOff>
    </xdr:from>
    <xdr:to>
      <xdr:col>44</xdr:col>
      <xdr:colOff>540785</xdr:colOff>
      <xdr:row>30</xdr:row>
      <xdr:rowOff>1800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26</xdr:col>
      <xdr:colOff>588960</xdr:colOff>
      <xdr:row>31</xdr:row>
      <xdr:rowOff>121320</xdr:rowOff>
    </xdr:from>
    <xdr:to>
      <xdr:col>35</xdr:col>
      <xdr:colOff>542815</xdr:colOff>
      <xdr:row>46</xdr:row>
      <xdr:rowOff>6905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36</xdr:col>
      <xdr:colOff>190440</xdr:colOff>
      <xdr:row>31</xdr:row>
      <xdr:rowOff>71280</xdr:rowOff>
    </xdr:from>
    <xdr:to>
      <xdr:col>45</xdr:col>
      <xdr:colOff>8705</xdr:colOff>
      <xdr:row>45</xdr:row>
      <xdr:rowOff>163735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26</xdr:col>
      <xdr:colOff>590400</xdr:colOff>
      <xdr:row>47</xdr:row>
      <xdr:rowOff>94320</xdr:rowOff>
    </xdr:from>
    <xdr:to>
      <xdr:col>35</xdr:col>
      <xdr:colOff>541145</xdr:colOff>
      <xdr:row>61</xdr:row>
      <xdr:rowOff>170280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36</xdr:col>
      <xdr:colOff>191880</xdr:colOff>
      <xdr:row>47</xdr:row>
      <xdr:rowOff>38160</xdr:rowOff>
    </xdr:from>
    <xdr:to>
      <xdr:col>45</xdr:col>
      <xdr:colOff>6905</xdr:colOff>
      <xdr:row>61</xdr:row>
      <xdr:rowOff>140105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31320</xdr:colOff>
      <xdr:row>6</xdr:row>
      <xdr:rowOff>105120</xdr:rowOff>
    </xdr:from>
    <xdr:to>
      <xdr:col>10</xdr:col>
      <xdr:colOff>198785</xdr:colOff>
      <xdr:row>8</xdr:row>
      <xdr:rowOff>153720</xdr:rowOff>
    </xdr:to>
    <xdr:pic>
      <xdr:nvPicPr>
        <xdr:cNvPr id="10" name="Gráfico 8" descr="Seta para Direita com preenchimento sólid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8513640" y="1352880"/>
          <a:ext cx="381960" cy="41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39240</xdr:colOff>
      <xdr:row>16</xdr:row>
      <xdr:rowOff>85320</xdr:rowOff>
    </xdr:from>
    <xdr:to>
      <xdr:col>10</xdr:col>
      <xdr:colOff>197345</xdr:colOff>
      <xdr:row>18</xdr:row>
      <xdr:rowOff>130680</xdr:rowOff>
    </xdr:to>
    <xdr:pic>
      <xdr:nvPicPr>
        <xdr:cNvPr id="11" name="Gráfico 9" descr="Seta para Direita com preenchimento sólid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8521560" y="3133440"/>
          <a:ext cx="372600" cy="40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1101240</xdr:colOff>
      <xdr:row>28</xdr:row>
      <xdr:rowOff>360</xdr:rowOff>
    </xdr:from>
    <xdr:to>
      <xdr:col>11</xdr:col>
      <xdr:colOff>21600</xdr:colOff>
      <xdr:row>30</xdr:row>
      <xdr:rowOff>46145</xdr:rowOff>
    </xdr:to>
    <xdr:pic>
      <xdr:nvPicPr>
        <xdr:cNvPr id="12" name="Gráfico 10" descr="Seta para Direita com preenchimento sólid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 rot="2499600">
          <a:off x="8218440" y="5220000"/>
          <a:ext cx="708120" cy="41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1240560</xdr:colOff>
      <xdr:row>39</xdr:row>
      <xdr:rowOff>142200</xdr:rowOff>
    </xdr:from>
    <xdr:to>
      <xdr:col>10</xdr:col>
      <xdr:colOff>82865</xdr:colOff>
      <xdr:row>44</xdr:row>
      <xdr:rowOff>125575</xdr:rowOff>
    </xdr:to>
    <xdr:pic>
      <xdr:nvPicPr>
        <xdr:cNvPr id="13" name="Gráfico 11" descr="Seta para Direita com preenchimento sólid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 rot="3155400">
          <a:off x="8125920" y="7584120"/>
          <a:ext cx="885240" cy="42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380880</xdr:colOff>
      <xdr:row>0</xdr:row>
      <xdr:rowOff>104040</xdr:rowOff>
    </xdr:from>
    <xdr:to>
      <xdr:col>14</xdr:col>
      <xdr:colOff>164095</xdr:colOff>
      <xdr:row>1</xdr:row>
      <xdr:rowOff>184025</xdr:rowOff>
    </xdr:to>
    <xdr:pic>
      <xdr:nvPicPr>
        <xdr:cNvPr id="14" name="Gráfico 12" descr="Seta para Direita com preenchimento sólid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0752840" y="104040"/>
          <a:ext cx="375840" cy="38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466235</xdr:colOff>
      <xdr:row>14</xdr:row>
      <xdr:rowOff>76870</xdr:rowOff>
    </xdr:from>
    <xdr:to>
      <xdr:col>14</xdr:col>
      <xdr:colOff>246275</xdr:colOff>
      <xdr:row>16</xdr:row>
      <xdr:rowOff>125470</xdr:rowOff>
    </xdr:to>
    <xdr:pic>
      <xdr:nvPicPr>
        <xdr:cNvPr id="15" name="Gráfico 13" descr="Seta para Direita com preenchimento sólid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0762760" y="2762920"/>
          <a:ext cx="370590" cy="4105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193550</xdr:colOff>
      <xdr:row>28</xdr:row>
      <xdr:rowOff>29980</xdr:rowOff>
    </xdr:from>
    <xdr:to>
      <xdr:col>13</xdr:col>
      <xdr:colOff>561030</xdr:colOff>
      <xdr:row>30</xdr:row>
      <xdr:rowOff>75470</xdr:rowOff>
    </xdr:to>
    <xdr:pic>
      <xdr:nvPicPr>
        <xdr:cNvPr id="16" name="Gráfico 14" descr="Seta para Direita com preenchimento sólid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0490075" y="5249680"/>
          <a:ext cx="370655" cy="407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187200</xdr:colOff>
      <xdr:row>42</xdr:row>
      <xdr:rowOff>51840</xdr:rowOff>
    </xdr:from>
    <xdr:to>
      <xdr:col>13</xdr:col>
      <xdr:colOff>552960</xdr:colOff>
      <xdr:row>44</xdr:row>
      <xdr:rowOff>106855</xdr:rowOff>
    </xdr:to>
    <xdr:pic>
      <xdr:nvPicPr>
        <xdr:cNvPr id="17" name="Gráfico 15" descr="Seta para Direita com preenchimento sólid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0559160" y="7805160"/>
          <a:ext cx="365760" cy="414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900360</xdr:colOff>
      <xdr:row>25</xdr:row>
      <xdr:rowOff>121320</xdr:rowOff>
    </xdr:from>
    <xdr:to>
      <xdr:col>18</xdr:col>
      <xdr:colOff>189360</xdr:colOff>
      <xdr:row>30</xdr:row>
      <xdr:rowOff>159545</xdr:rowOff>
    </xdr:to>
    <xdr:pic>
      <xdr:nvPicPr>
        <xdr:cNvPr id="18" name="Gráfico 17" descr="Fusão com preenchimento sólid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 rot="20943000">
          <a:off x="13129920" y="4797720"/>
          <a:ext cx="929160" cy="94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51480</xdr:colOff>
      <xdr:row>11</xdr:row>
      <xdr:rowOff>138600</xdr:rowOff>
    </xdr:from>
    <xdr:to>
      <xdr:col>18</xdr:col>
      <xdr:colOff>316735</xdr:colOff>
      <xdr:row>17</xdr:row>
      <xdr:rowOff>6905</xdr:rowOff>
    </xdr:to>
    <xdr:pic>
      <xdr:nvPicPr>
        <xdr:cNvPr id="19" name="Gráfico 18" descr="Fusão com preenchimento sólid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 rot="20943000">
          <a:off x="13255200" y="2291400"/>
          <a:ext cx="928080" cy="947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573763</xdr:colOff>
      <xdr:row>38</xdr:row>
      <xdr:rowOff>111140</xdr:rowOff>
    </xdr:from>
    <xdr:to>
      <xdr:col>17</xdr:col>
      <xdr:colOff>513573</xdr:colOff>
      <xdr:row>43</xdr:row>
      <xdr:rowOff>152475</xdr:rowOff>
    </xdr:to>
    <xdr:pic>
      <xdr:nvPicPr>
        <xdr:cNvPr id="20" name="Gráfico 19" descr="Fusão com preenchimento sólid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 rot="20943000">
          <a:off x="12699088" y="7140590"/>
          <a:ext cx="901835" cy="9462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970928</xdr:colOff>
      <xdr:row>56</xdr:row>
      <xdr:rowOff>26022</xdr:rowOff>
    </xdr:from>
    <xdr:to>
      <xdr:col>11</xdr:col>
      <xdr:colOff>74828</xdr:colOff>
      <xdr:row>58</xdr:row>
      <xdr:rowOff>74827</xdr:rowOff>
    </xdr:to>
    <xdr:pic>
      <xdr:nvPicPr>
        <xdr:cNvPr id="21" name="Gráfico 11" descr="Seta para Direita com preenchimento sólido">
          <a:extLst>
            <a:ext uri="{FF2B5EF4-FFF2-40B4-BE49-F238E27FC236}">
              <a16:creationId xmlns:a16="http://schemas.microsoft.com/office/drawing/2014/main" id="{E471084F-984E-4301-98FD-6E3CCAD4059A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 rot="1971570">
          <a:off x="8028953" y="10313022"/>
          <a:ext cx="885075" cy="410755"/>
        </a:xfrm>
        <a:prstGeom prst="rect">
          <a:avLst/>
        </a:prstGeom>
        <a:ln w="0">
          <a:noFill/>
        </a:ln>
      </xdr:spPr>
    </xdr:pic>
    <xdr:clientData/>
  </xdr:twoCellAnchor>
  <xdr:oneCellAnchor>
    <xdr:from>
      <xdr:col>13</xdr:col>
      <xdr:colOff>187200</xdr:colOff>
      <xdr:row>57</xdr:row>
      <xdr:rowOff>51840</xdr:rowOff>
    </xdr:from>
    <xdr:ext cx="368935" cy="416965"/>
    <xdr:pic>
      <xdr:nvPicPr>
        <xdr:cNvPr id="22" name="Gráfico 15" descr="Seta para Direita com preenchimento sólido">
          <a:extLst>
            <a:ext uri="{FF2B5EF4-FFF2-40B4-BE49-F238E27FC236}">
              <a16:creationId xmlns:a16="http://schemas.microsoft.com/office/drawing/2014/main" id="{614D5027-607F-462E-9640-34F48F11A661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0480550" y="7802015"/>
          <a:ext cx="368935" cy="416965"/>
        </a:xfrm>
        <a:prstGeom prst="rect">
          <a:avLst/>
        </a:prstGeom>
        <a:ln w="0">
          <a:noFill/>
        </a:ln>
      </xdr:spPr>
    </xdr:pic>
    <xdr:clientData/>
  </xdr:oneCellAnchor>
  <xdr:twoCellAnchor editAs="oneCell">
    <xdr:from>
      <xdr:col>16</xdr:col>
      <xdr:colOff>742950</xdr:colOff>
      <xdr:row>53</xdr:row>
      <xdr:rowOff>85725</xdr:rowOff>
    </xdr:from>
    <xdr:to>
      <xdr:col>18</xdr:col>
      <xdr:colOff>28710</xdr:colOff>
      <xdr:row>58</xdr:row>
      <xdr:rowOff>130235</xdr:rowOff>
    </xdr:to>
    <xdr:pic>
      <xdr:nvPicPr>
        <xdr:cNvPr id="23" name="Gráfico 19" descr="Fusão com preenchimento sólido">
          <a:extLst>
            <a:ext uri="{FF2B5EF4-FFF2-40B4-BE49-F238E27FC236}">
              <a16:creationId xmlns:a16="http://schemas.microsoft.com/office/drawing/2014/main" id="{6C27DCF8-F55F-400C-9963-1ADC100A29F6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 rot="20943000">
          <a:off x="12877800" y="9829800"/>
          <a:ext cx="901835" cy="94938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206280</xdr:colOff>
      <xdr:row>41</xdr:row>
      <xdr:rowOff>24480</xdr:rowOff>
    </xdr:from>
    <xdr:to>
      <xdr:col>6</xdr:col>
      <xdr:colOff>116650</xdr:colOff>
      <xdr:row>56</xdr:row>
      <xdr:rowOff>10015</xdr:rowOff>
    </xdr:to>
    <xdr:graphicFrame macro="">
      <xdr:nvGraphicFramePr>
        <xdr:cNvPr id="32" name="Chart 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69</xdr:row>
      <xdr:rowOff>62280</xdr:rowOff>
    </xdr:from>
    <xdr:to>
      <xdr:col>5</xdr:col>
      <xdr:colOff>543978</xdr:colOff>
      <xdr:row>83</xdr:row>
      <xdr:rowOff>102665</xdr:rowOff>
    </xdr:to>
    <xdr:graphicFrame macro="">
      <xdr:nvGraphicFramePr>
        <xdr:cNvPr id="33" name="Chart 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262080</xdr:colOff>
      <xdr:row>41</xdr:row>
      <xdr:rowOff>119160</xdr:rowOff>
    </xdr:from>
    <xdr:to>
      <xdr:col>13</xdr:col>
      <xdr:colOff>752695</xdr:colOff>
      <xdr:row>56</xdr:row>
      <xdr:rowOff>58680</xdr:rowOff>
    </xdr:to>
    <xdr:graphicFrame macro="">
      <xdr:nvGraphicFramePr>
        <xdr:cNvPr id="34" name="Chart 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790560</xdr:colOff>
      <xdr:row>70</xdr:row>
      <xdr:rowOff>27000</xdr:rowOff>
    </xdr:from>
    <xdr:to>
      <xdr:col>13</xdr:col>
      <xdr:colOff>399240</xdr:colOff>
      <xdr:row>85</xdr:row>
      <xdr:rowOff>10735</xdr:rowOff>
    </xdr:to>
    <xdr:graphicFrame macro="">
      <xdr:nvGraphicFramePr>
        <xdr:cNvPr id="35" name="Chart 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583200</xdr:colOff>
      <xdr:row>57</xdr:row>
      <xdr:rowOff>5040</xdr:rowOff>
    </xdr:from>
    <xdr:to>
      <xdr:col>5</xdr:col>
      <xdr:colOff>428835</xdr:colOff>
      <xdr:row>68</xdr:row>
      <xdr:rowOff>46505</xdr:rowOff>
    </xdr:to>
    <xdr:graphicFrame macro="">
      <xdr:nvGraphicFramePr>
        <xdr:cNvPr id="36" name="Chart 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360360</xdr:colOff>
      <xdr:row>57</xdr:row>
      <xdr:rowOff>32400</xdr:rowOff>
    </xdr:from>
    <xdr:to>
      <xdr:col>13</xdr:col>
      <xdr:colOff>295135</xdr:colOff>
      <xdr:row>68</xdr:row>
      <xdr:rowOff>124135</xdr:rowOff>
    </xdr:to>
    <xdr:graphicFrame macro="">
      <xdr:nvGraphicFramePr>
        <xdr:cNvPr id="37" name="Chart 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237960</xdr:colOff>
      <xdr:row>84</xdr:row>
      <xdr:rowOff>83520</xdr:rowOff>
    </xdr:from>
    <xdr:to>
      <xdr:col>5</xdr:col>
      <xdr:colOff>66415</xdr:colOff>
      <xdr:row>94</xdr:row>
      <xdr:rowOff>86695</xdr:rowOff>
    </xdr:to>
    <xdr:graphicFrame macro="">
      <xdr:nvGraphicFramePr>
        <xdr:cNvPr id="38" name="Chart 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508680</xdr:colOff>
      <xdr:row>86</xdr:row>
      <xdr:rowOff>11880</xdr:rowOff>
    </xdr:from>
    <xdr:to>
      <xdr:col>12</xdr:col>
      <xdr:colOff>866815</xdr:colOff>
      <xdr:row>96</xdr:row>
      <xdr:rowOff>67255</xdr:rowOff>
    </xdr:to>
    <xdr:graphicFrame macro="">
      <xdr:nvGraphicFramePr>
        <xdr:cNvPr id="39" name="Chart 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299880</xdr:colOff>
      <xdr:row>41</xdr:row>
      <xdr:rowOff>159480</xdr:rowOff>
    </xdr:from>
    <xdr:to>
      <xdr:col>22</xdr:col>
      <xdr:colOff>2960</xdr:colOff>
      <xdr:row>56</xdr:row>
      <xdr:rowOff>86335</xdr:rowOff>
    </xdr:to>
    <xdr:graphicFrame macro="">
      <xdr:nvGraphicFramePr>
        <xdr:cNvPr id="40" name="Chart 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15</xdr:col>
      <xdr:colOff>292320</xdr:colOff>
      <xdr:row>70</xdr:row>
      <xdr:rowOff>51480</xdr:rowOff>
    </xdr:from>
    <xdr:to>
      <xdr:col>21</xdr:col>
      <xdr:colOff>511823</xdr:colOff>
      <xdr:row>85</xdr:row>
      <xdr:rowOff>25985</xdr:rowOff>
    </xdr:to>
    <xdr:graphicFrame macro="">
      <xdr:nvGraphicFramePr>
        <xdr:cNvPr id="41" name="Chart 1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16</xdr:col>
      <xdr:colOff>14400</xdr:colOff>
      <xdr:row>57</xdr:row>
      <xdr:rowOff>50760</xdr:rowOff>
    </xdr:from>
    <xdr:to>
      <xdr:col>21</xdr:col>
      <xdr:colOff>437731</xdr:colOff>
      <xdr:row>68</xdr:row>
      <xdr:rowOff>152280</xdr:rowOff>
    </xdr:to>
    <xdr:graphicFrame macro="">
      <xdr:nvGraphicFramePr>
        <xdr:cNvPr id="42" name="Chart 1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16</xdr:col>
      <xdr:colOff>150120</xdr:colOff>
      <xdr:row>86</xdr:row>
      <xdr:rowOff>36360</xdr:rowOff>
    </xdr:from>
    <xdr:to>
      <xdr:col>20</xdr:col>
      <xdr:colOff>485147</xdr:colOff>
      <xdr:row>96</xdr:row>
      <xdr:rowOff>95040</xdr:rowOff>
    </xdr:to>
    <xdr:graphicFrame macro="">
      <xdr:nvGraphicFramePr>
        <xdr:cNvPr id="43" name="Chart 1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23</xdr:col>
      <xdr:colOff>590400</xdr:colOff>
      <xdr:row>41</xdr:row>
      <xdr:rowOff>119160</xdr:rowOff>
    </xdr:from>
    <xdr:to>
      <xdr:col>31</xdr:col>
      <xdr:colOff>507894</xdr:colOff>
      <xdr:row>56</xdr:row>
      <xdr:rowOff>48895</xdr:rowOff>
    </xdr:to>
    <xdr:graphicFrame macro="">
      <xdr:nvGraphicFramePr>
        <xdr:cNvPr id="44" name="Chart 1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23</xdr:col>
      <xdr:colOff>285840</xdr:colOff>
      <xdr:row>70</xdr:row>
      <xdr:rowOff>4680</xdr:rowOff>
    </xdr:from>
    <xdr:to>
      <xdr:col>31</xdr:col>
      <xdr:colOff>237174</xdr:colOff>
      <xdr:row>85</xdr:row>
      <xdr:rowOff>2538</xdr:rowOff>
    </xdr:to>
    <xdr:graphicFrame macro="">
      <xdr:nvGraphicFramePr>
        <xdr:cNvPr id="45" name="Chart 1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24</xdr:col>
      <xdr:colOff>59040</xdr:colOff>
      <xdr:row>57</xdr:row>
      <xdr:rowOff>13320</xdr:rowOff>
    </xdr:from>
    <xdr:to>
      <xdr:col>32</xdr:col>
      <xdr:colOff>88136</xdr:colOff>
      <xdr:row>68</xdr:row>
      <xdr:rowOff>111600</xdr:rowOff>
    </xdr:to>
    <xdr:graphicFrame macro="">
      <xdr:nvGraphicFramePr>
        <xdr:cNvPr id="46" name="Chart 1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24</xdr:col>
      <xdr:colOff>51840</xdr:colOff>
      <xdr:row>86</xdr:row>
      <xdr:rowOff>2160</xdr:rowOff>
    </xdr:from>
    <xdr:to>
      <xdr:col>31</xdr:col>
      <xdr:colOff>88856</xdr:colOff>
      <xdr:row>96</xdr:row>
      <xdr:rowOff>54360</xdr:rowOff>
    </xdr:to>
    <xdr:graphicFrame macro="">
      <xdr:nvGraphicFramePr>
        <xdr:cNvPr id="47" name="Chart 1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768880</xdr:colOff>
      <xdr:row>45</xdr:row>
      <xdr:rowOff>106577</xdr:rowOff>
    </xdr:from>
    <xdr:to>
      <xdr:col>17</xdr:col>
      <xdr:colOff>296</xdr:colOff>
      <xdr:row>50</xdr:row>
      <xdr:rowOff>116080</xdr:rowOff>
    </xdr:to>
    <xdr:pic>
      <xdr:nvPicPr>
        <xdr:cNvPr id="19" name="Gráfico 10" descr="Fusão com preenchimento sólido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801880" y="8361577"/>
          <a:ext cx="928983" cy="89850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770035</xdr:colOff>
      <xdr:row>13</xdr:row>
      <xdr:rowOff>49761</xdr:rowOff>
    </xdr:from>
    <xdr:to>
      <xdr:col>16</xdr:col>
      <xdr:colOff>341241</xdr:colOff>
      <xdr:row>18</xdr:row>
      <xdr:rowOff>68055</xdr:rowOff>
    </xdr:to>
    <xdr:pic>
      <xdr:nvPicPr>
        <xdr:cNvPr id="20" name="Gráfico 11" descr="Fusão com preenchimento sólid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803035" y="2536844"/>
          <a:ext cx="935398" cy="91787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733088</xdr:colOff>
      <xdr:row>29</xdr:row>
      <xdr:rowOff>54958</xdr:rowOff>
    </xdr:from>
    <xdr:to>
      <xdr:col>16</xdr:col>
      <xdr:colOff>316994</xdr:colOff>
      <xdr:row>34</xdr:row>
      <xdr:rowOff>44613</xdr:rowOff>
    </xdr:to>
    <xdr:pic>
      <xdr:nvPicPr>
        <xdr:cNvPr id="21" name="Gráfico 12" descr="Fusão com preenchimento sólido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766088" y="5410125"/>
          <a:ext cx="938573" cy="89558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210608</xdr:colOff>
      <xdr:row>90</xdr:row>
      <xdr:rowOff>46692</xdr:rowOff>
    </xdr:from>
    <xdr:to>
      <xdr:col>19</xdr:col>
      <xdr:colOff>218276</xdr:colOff>
      <xdr:row>106</xdr:row>
      <xdr:rowOff>11138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714374</xdr:colOff>
      <xdr:row>90</xdr:row>
      <xdr:rowOff>49867</xdr:rowOff>
    </xdr:from>
    <xdr:to>
      <xdr:col>28</xdr:col>
      <xdr:colOff>543897</xdr:colOff>
      <xdr:row>106</xdr:row>
      <xdr:rowOff>11138</xdr:rowOff>
    </xdr:to>
    <xdr:graphicFrame macro="">
      <xdr:nvGraphicFramePr>
        <xdr:cNvPr id="23" name="Chart 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159808</xdr:colOff>
      <xdr:row>110</xdr:row>
      <xdr:rowOff>58727</xdr:rowOff>
    </xdr:from>
    <xdr:to>
      <xdr:col>19</xdr:col>
      <xdr:colOff>170651</xdr:colOff>
      <xdr:row>126</xdr:row>
      <xdr:rowOff>6461</xdr:rowOff>
    </xdr:to>
    <xdr:graphicFrame macro="">
      <xdr:nvGraphicFramePr>
        <xdr:cNvPr id="24" name="Chart 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695324</xdr:colOff>
      <xdr:row>110</xdr:row>
      <xdr:rowOff>49202</xdr:rowOff>
    </xdr:from>
    <xdr:to>
      <xdr:col>28</xdr:col>
      <xdr:colOff>524847</xdr:colOff>
      <xdr:row>126</xdr:row>
      <xdr:rowOff>111</xdr:rowOff>
    </xdr:to>
    <xdr:graphicFrame macro="">
      <xdr:nvGraphicFramePr>
        <xdr:cNvPr id="25" name="Chart 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188383</xdr:colOff>
      <xdr:row>130</xdr:row>
      <xdr:rowOff>57228</xdr:rowOff>
    </xdr:from>
    <xdr:to>
      <xdr:col>19</xdr:col>
      <xdr:colOff>211926</xdr:colOff>
      <xdr:row>146</xdr:row>
      <xdr:rowOff>11673</xdr:rowOff>
    </xdr:to>
    <xdr:graphicFrame macro="">
      <xdr:nvGraphicFramePr>
        <xdr:cNvPr id="26" name="Chart 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695324</xdr:colOff>
      <xdr:row>130</xdr:row>
      <xdr:rowOff>57228</xdr:rowOff>
    </xdr:from>
    <xdr:to>
      <xdr:col>28</xdr:col>
      <xdr:colOff>524847</xdr:colOff>
      <xdr:row>146</xdr:row>
      <xdr:rowOff>11673</xdr:rowOff>
    </xdr:to>
    <xdr:graphicFrame macro="">
      <xdr:nvGraphicFramePr>
        <xdr:cNvPr id="27" name="Chart 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264583</xdr:colOff>
      <xdr:row>150</xdr:row>
      <xdr:rowOff>45504</xdr:rowOff>
    </xdr:from>
    <xdr:to>
      <xdr:col>19</xdr:col>
      <xdr:colOff>288126</xdr:colOff>
      <xdr:row>165</xdr:row>
      <xdr:rowOff>169027</xdr:rowOff>
    </xdr:to>
    <xdr:graphicFrame macro="">
      <xdr:nvGraphicFramePr>
        <xdr:cNvPr id="28" name="Chart 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19</xdr:col>
      <xdr:colOff>723899</xdr:colOff>
      <xdr:row>150</xdr:row>
      <xdr:rowOff>26454</xdr:rowOff>
    </xdr:from>
    <xdr:to>
      <xdr:col>28</xdr:col>
      <xdr:colOff>550247</xdr:colOff>
      <xdr:row>165</xdr:row>
      <xdr:rowOff>149977</xdr:rowOff>
    </xdr:to>
    <xdr:graphicFrame macro="">
      <xdr:nvGraphicFramePr>
        <xdr:cNvPr id="29" name="Chart 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131233</xdr:colOff>
      <xdr:row>170</xdr:row>
      <xdr:rowOff>73743</xdr:rowOff>
    </xdr:from>
    <xdr:to>
      <xdr:col>19</xdr:col>
      <xdr:colOff>154776</xdr:colOff>
      <xdr:row>186</xdr:row>
      <xdr:rowOff>18303</xdr:rowOff>
    </xdr:to>
    <xdr:graphicFrame macro="">
      <xdr:nvGraphicFramePr>
        <xdr:cNvPr id="30" name="Chart 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19</xdr:col>
      <xdr:colOff>628649</xdr:colOff>
      <xdr:row>170</xdr:row>
      <xdr:rowOff>64218</xdr:rowOff>
    </xdr:from>
    <xdr:to>
      <xdr:col>28</xdr:col>
      <xdr:colOff>454997</xdr:colOff>
      <xdr:row>186</xdr:row>
      <xdr:rowOff>11953</xdr:rowOff>
    </xdr:to>
    <xdr:graphicFrame macro="">
      <xdr:nvGraphicFramePr>
        <xdr:cNvPr id="31" name="Chart 1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29</xdr:col>
      <xdr:colOff>161925</xdr:colOff>
      <xdr:row>90</xdr:row>
      <xdr:rowOff>47625</xdr:rowOff>
    </xdr:from>
    <xdr:to>
      <xdr:col>38</xdr:col>
      <xdr:colOff>502623</xdr:colOff>
      <xdr:row>106</xdr:row>
      <xdr:rowOff>12071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DD3D49F-586A-4424-8254-2C4C88F65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29</xdr:col>
      <xdr:colOff>219075</xdr:colOff>
      <xdr:row>110</xdr:row>
      <xdr:rowOff>19050</xdr:rowOff>
    </xdr:from>
    <xdr:to>
      <xdr:col>38</xdr:col>
      <xdr:colOff>559773</xdr:colOff>
      <xdr:row>125</xdr:row>
      <xdr:rowOff>161296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49F900-CBE1-4BCF-9A15-EBE7C7C23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29</xdr:col>
      <xdr:colOff>415637</xdr:colOff>
      <xdr:row>130</xdr:row>
      <xdr:rowOff>1</xdr:rowOff>
    </xdr:from>
    <xdr:to>
      <xdr:col>39</xdr:col>
      <xdr:colOff>141250</xdr:colOff>
      <xdr:row>145</xdr:row>
      <xdr:rowOff>124453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B116D8AE-D6EB-49B1-8529-19AB0F206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29</xdr:col>
      <xdr:colOff>398318</xdr:colOff>
      <xdr:row>150</xdr:row>
      <xdr:rowOff>51955</xdr:rowOff>
    </xdr:from>
    <xdr:to>
      <xdr:col>39</xdr:col>
      <xdr:colOff>123931</xdr:colOff>
      <xdr:row>166</xdr:row>
      <xdr:rowOff>2296</xdr:rowOff>
    </xdr:to>
    <xdr:graphicFrame macro="">
      <xdr:nvGraphicFramePr>
        <xdr:cNvPr id="6" name="Chart 8">
          <a:extLst>
            <a:ext uri="{FF2B5EF4-FFF2-40B4-BE49-F238E27FC236}">
              <a16:creationId xmlns:a16="http://schemas.microsoft.com/office/drawing/2014/main" id="{BF8F1294-7523-43C4-94A1-59A6B1AB8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29</xdr:col>
      <xdr:colOff>242455</xdr:colOff>
      <xdr:row>170</xdr:row>
      <xdr:rowOff>69273</xdr:rowOff>
    </xdr:from>
    <xdr:to>
      <xdr:col>38</xdr:col>
      <xdr:colOff>571029</xdr:colOff>
      <xdr:row>186</xdr:row>
      <xdr:rowOff>7483</xdr:rowOff>
    </xdr:to>
    <xdr:graphicFrame macro="">
      <xdr:nvGraphicFramePr>
        <xdr:cNvPr id="7" name="Chart 10">
          <a:extLst>
            <a:ext uri="{FF2B5EF4-FFF2-40B4-BE49-F238E27FC236}">
              <a16:creationId xmlns:a16="http://schemas.microsoft.com/office/drawing/2014/main" id="{81B53FB5-DC67-44C7-90AB-652C3CA28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13</xdr:col>
      <xdr:colOff>712257</xdr:colOff>
      <xdr:row>62</xdr:row>
      <xdr:rowOff>169334</xdr:rowOff>
    </xdr:from>
    <xdr:to>
      <xdr:col>16</xdr:col>
      <xdr:colOff>286573</xdr:colOff>
      <xdr:row>67</xdr:row>
      <xdr:rowOff>161904</xdr:rowOff>
    </xdr:to>
    <xdr:pic>
      <xdr:nvPicPr>
        <xdr:cNvPr id="4" name="Gráfico 10" descr="Fusão com preenchimento sólido">
          <a:extLst>
            <a:ext uri="{FF2B5EF4-FFF2-40B4-BE49-F238E27FC236}">
              <a16:creationId xmlns:a16="http://schemas.microsoft.com/office/drawing/2014/main" id="{EBA35381-6AEA-4817-894E-1990FEF4017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745257" y="11493501"/>
          <a:ext cx="928983" cy="892153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361949</xdr:colOff>
      <xdr:row>13</xdr:row>
      <xdr:rowOff>152401</xdr:rowOff>
    </xdr:from>
    <xdr:to>
      <xdr:col>6</xdr:col>
      <xdr:colOff>73025</xdr:colOff>
      <xdr:row>20</xdr:row>
      <xdr:rowOff>209528</xdr:rowOff>
    </xdr:to>
    <xdr:pic>
      <xdr:nvPicPr>
        <xdr:cNvPr id="8" name="Gráfico 10" descr="Fusão com preenchimento sólido">
          <a:extLst>
            <a:ext uri="{FF2B5EF4-FFF2-40B4-BE49-F238E27FC236}">
              <a16:creationId xmlns:a16="http://schemas.microsoft.com/office/drawing/2014/main" id="{16E47192-A9F3-4DB1-BA2E-F9A15CDDC24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33624" y="2543176"/>
          <a:ext cx="1892301" cy="1355702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73025</xdr:colOff>
      <xdr:row>34</xdr:row>
      <xdr:rowOff>177800</xdr:rowOff>
    </xdr:from>
    <xdr:to>
      <xdr:col>5</xdr:col>
      <xdr:colOff>760707</xdr:colOff>
      <xdr:row>41</xdr:row>
      <xdr:rowOff>69827</xdr:rowOff>
    </xdr:to>
    <xdr:pic>
      <xdr:nvPicPr>
        <xdr:cNvPr id="2" name="Gráfico 10" descr="Fusão com preenchimento sólido">
          <a:extLst>
            <a:ext uri="{FF2B5EF4-FFF2-40B4-BE49-F238E27FC236}">
              <a16:creationId xmlns:a16="http://schemas.microsoft.com/office/drawing/2014/main" id="{C9E49D30-8A73-4014-88EB-809400CBD33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654300" y="6454775"/>
          <a:ext cx="1440157" cy="1177902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371475</xdr:colOff>
      <xdr:row>54</xdr:row>
      <xdr:rowOff>66675</xdr:rowOff>
    </xdr:from>
    <xdr:to>
      <xdr:col>5</xdr:col>
      <xdr:colOff>554333</xdr:colOff>
      <xdr:row>59</xdr:row>
      <xdr:rowOff>57128</xdr:rowOff>
    </xdr:to>
    <xdr:pic>
      <xdr:nvPicPr>
        <xdr:cNvPr id="3" name="Gráfico 10" descr="Fusão com preenchimento sólido">
          <a:extLst>
            <a:ext uri="{FF2B5EF4-FFF2-40B4-BE49-F238E27FC236}">
              <a16:creationId xmlns:a16="http://schemas.microsoft.com/office/drawing/2014/main" id="{988A7DF5-2C40-4070-80F3-A65BD3E9F5B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962275" y="8934450"/>
          <a:ext cx="935333" cy="895328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190499</xdr:colOff>
      <xdr:row>11</xdr:row>
      <xdr:rowOff>95249</xdr:rowOff>
    </xdr:from>
    <xdr:to>
      <xdr:col>5</xdr:col>
      <xdr:colOff>313032</xdr:colOff>
      <xdr:row>17</xdr:row>
      <xdr:rowOff>57127</xdr:rowOff>
    </xdr:to>
    <xdr:pic>
      <xdr:nvPicPr>
        <xdr:cNvPr id="2" name="Gráfico 10" descr="Fusão com preenchimento sólido">
          <a:extLst>
            <a:ext uri="{FF2B5EF4-FFF2-40B4-BE49-F238E27FC236}">
              <a16:creationId xmlns:a16="http://schemas.microsoft.com/office/drawing/2014/main" id="{6CE4CC97-1185-4A6D-B15E-9BB3ED4C673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628899" y="2238374"/>
          <a:ext cx="935333" cy="105090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238124</xdr:colOff>
      <xdr:row>25</xdr:row>
      <xdr:rowOff>142874</xdr:rowOff>
    </xdr:from>
    <xdr:to>
      <xdr:col>5</xdr:col>
      <xdr:colOff>360657</xdr:colOff>
      <xdr:row>31</xdr:row>
      <xdr:rowOff>104752</xdr:rowOff>
    </xdr:to>
    <xdr:pic>
      <xdr:nvPicPr>
        <xdr:cNvPr id="3" name="Gráfico 10" descr="Fusão com preenchimento sólido">
          <a:extLst>
            <a:ext uri="{FF2B5EF4-FFF2-40B4-BE49-F238E27FC236}">
              <a16:creationId xmlns:a16="http://schemas.microsoft.com/office/drawing/2014/main" id="{5F926185-5D0B-49FC-9CE8-33337A782A1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676524" y="5305424"/>
          <a:ext cx="932158" cy="105090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371475</xdr:colOff>
      <xdr:row>43</xdr:row>
      <xdr:rowOff>66675</xdr:rowOff>
    </xdr:from>
    <xdr:to>
      <xdr:col>5</xdr:col>
      <xdr:colOff>494008</xdr:colOff>
      <xdr:row>49</xdr:row>
      <xdr:rowOff>31728</xdr:rowOff>
    </xdr:to>
    <xdr:pic>
      <xdr:nvPicPr>
        <xdr:cNvPr id="4" name="Gráfico 10" descr="Fusão com preenchimento sólido">
          <a:extLst>
            <a:ext uri="{FF2B5EF4-FFF2-40B4-BE49-F238E27FC236}">
              <a16:creationId xmlns:a16="http://schemas.microsoft.com/office/drawing/2014/main" id="{69E9FE70-382D-454F-84A6-E4D27BB4A15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959100" y="8931275"/>
          <a:ext cx="938508" cy="898503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546099</xdr:colOff>
      <xdr:row>11</xdr:row>
      <xdr:rowOff>95249</xdr:rowOff>
    </xdr:from>
    <xdr:to>
      <xdr:col>5</xdr:col>
      <xdr:colOff>725782</xdr:colOff>
      <xdr:row>16</xdr:row>
      <xdr:rowOff>88877</xdr:rowOff>
    </xdr:to>
    <xdr:pic>
      <xdr:nvPicPr>
        <xdr:cNvPr id="2" name="Gráfico 10" descr="Fusão com preenchimento sólido">
          <a:extLst>
            <a:ext uri="{FF2B5EF4-FFF2-40B4-BE49-F238E27FC236}">
              <a16:creationId xmlns:a16="http://schemas.microsoft.com/office/drawing/2014/main" id="{F983A821-BAFF-4AB0-AB04-6B340FE272A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33724" y="2305049"/>
          <a:ext cx="935333" cy="89850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476249</xdr:colOff>
      <xdr:row>25</xdr:row>
      <xdr:rowOff>152399</xdr:rowOff>
    </xdr:from>
    <xdr:to>
      <xdr:col>5</xdr:col>
      <xdr:colOff>655932</xdr:colOff>
      <xdr:row>30</xdr:row>
      <xdr:rowOff>146027</xdr:rowOff>
    </xdr:to>
    <xdr:pic>
      <xdr:nvPicPr>
        <xdr:cNvPr id="3" name="Gráfico 10" descr="Fusão com preenchimento sólido">
          <a:extLst>
            <a:ext uri="{FF2B5EF4-FFF2-40B4-BE49-F238E27FC236}">
              <a16:creationId xmlns:a16="http://schemas.microsoft.com/office/drawing/2014/main" id="{2E9C727B-76EF-41CA-907D-AB04BD088A2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67049" y="5343524"/>
          <a:ext cx="932158" cy="89850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371475</xdr:colOff>
      <xdr:row>46</xdr:row>
      <xdr:rowOff>66675</xdr:rowOff>
    </xdr:from>
    <xdr:to>
      <xdr:col>5</xdr:col>
      <xdr:colOff>554333</xdr:colOff>
      <xdr:row>51</xdr:row>
      <xdr:rowOff>57128</xdr:rowOff>
    </xdr:to>
    <xdr:pic>
      <xdr:nvPicPr>
        <xdr:cNvPr id="4" name="Gráfico 10" descr="Fusão com preenchimento sólido">
          <a:extLst>
            <a:ext uri="{FF2B5EF4-FFF2-40B4-BE49-F238E27FC236}">
              <a16:creationId xmlns:a16="http://schemas.microsoft.com/office/drawing/2014/main" id="{54EFE811-1003-44B1-959D-F8E51D5A6EE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959100" y="8931275"/>
          <a:ext cx="938508" cy="898503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533399</xdr:colOff>
      <xdr:row>24</xdr:row>
      <xdr:rowOff>155574</xdr:rowOff>
    </xdr:from>
    <xdr:to>
      <xdr:col>5</xdr:col>
      <xdr:colOff>1465557</xdr:colOff>
      <xdr:row>30</xdr:row>
      <xdr:rowOff>114277</xdr:rowOff>
    </xdr:to>
    <xdr:pic>
      <xdr:nvPicPr>
        <xdr:cNvPr id="3" name="Gráfico 10" descr="Fusão com preenchimento sólido">
          <a:extLst>
            <a:ext uri="{FF2B5EF4-FFF2-40B4-BE49-F238E27FC236}">
              <a16:creationId xmlns:a16="http://schemas.microsoft.com/office/drawing/2014/main" id="{B3FF0E8E-01A1-42EC-BF23-092F43E268F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019549" y="4775199"/>
          <a:ext cx="932158" cy="104455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371475</xdr:colOff>
      <xdr:row>94</xdr:row>
      <xdr:rowOff>130175</xdr:rowOff>
    </xdr:from>
    <xdr:to>
      <xdr:col>5</xdr:col>
      <xdr:colOff>1306808</xdr:colOff>
      <xdr:row>100</xdr:row>
      <xdr:rowOff>98403</xdr:rowOff>
    </xdr:to>
    <xdr:pic>
      <xdr:nvPicPr>
        <xdr:cNvPr id="4" name="Gráfico 10" descr="Fusão com preenchimento sólido">
          <a:extLst>
            <a:ext uri="{FF2B5EF4-FFF2-40B4-BE49-F238E27FC236}">
              <a16:creationId xmlns:a16="http://schemas.microsoft.com/office/drawing/2014/main" id="{A7F2341D-7D65-4B6B-8755-17A88D5A1B3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57625" y="17589500"/>
          <a:ext cx="935333" cy="105407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371475</xdr:colOff>
      <xdr:row>56</xdr:row>
      <xdr:rowOff>76200</xdr:rowOff>
    </xdr:from>
    <xdr:to>
      <xdr:col>5</xdr:col>
      <xdr:colOff>1303633</xdr:colOff>
      <xdr:row>62</xdr:row>
      <xdr:rowOff>38078</xdr:rowOff>
    </xdr:to>
    <xdr:pic>
      <xdr:nvPicPr>
        <xdr:cNvPr id="5" name="Gráfico 10" descr="Fusão com preenchimento sólido">
          <a:extLst>
            <a:ext uri="{FF2B5EF4-FFF2-40B4-BE49-F238E27FC236}">
              <a16:creationId xmlns:a16="http://schemas.microsoft.com/office/drawing/2014/main" id="{20DFF192-5B7F-469C-A4BD-066AD97D499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57625" y="10563225"/>
          <a:ext cx="935333" cy="1047728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ctoria Oliveira" id="{EDE81FCE-AFFB-4994-898B-84869948A66D}" userId="S::victoria.oliveira@copart.com::c74c025a-8895-43ad-ad70-80d84a085eb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8" dT="2026-09-08T21:07:35.76" personId="{EDE81FCE-AFFB-4994-898B-84869948A66D}" id="{8DF554ED-2D7F-460E-B1B3-16C493E34DBD}">
    <text>Compre agora - 30 a 1</text>
  </threadedComment>
  <threadedComment ref="B20" dT="2026-09-08T21:07:35.76" personId="{EDE81FCE-AFFB-4994-898B-84869948A66D}" id="{12958D9D-1FB2-4830-B7B9-F0B57F0A6E96}">
    <text>Compre agora - 30 a 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"/>
  <sheetViews>
    <sheetView showGridLines="0" tabSelected="1" zoomScaleNormal="100" workbookViewId="0">
      <selection activeCell="L23" sqref="L23:Q23"/>
    </sheetView>
  </sheetViews>
  <sheetFormatPr defaultColWidth="8.54296875" defaultRowHeight="14.5" x14ac:dyDescent="0.35"/>
  <cols>
    <col min="2" max="2" width="20.26953125" customWidth="1"/>
    <col min="3" max="3" width="18.54296875" customWidth="1"/>
    <col min="4" max="4" width="10.7265625" style="3" customWidth="1"/>
    <col min="5" max="5" width="4.54296875" customWidth="1"/>
    <col min="6" max="6" width="15.1796875" customWidth="1"/>
    <col min="7" max="7" width="10.1796875" customWidth="1"/>
    <col min="8" max="8" width="13" customWidth="1"/>
    <col min="9" max="9" width="19.453125" customWidth="1"/>
    <col min="10" max="11" width="3" customWidth="1"/>
    <col min="13" max="13" width="12.26953125" customWidth="1"/>
    <col min="14" max="15" width="8.453125" customWidth="1"/>
    <col min="16" max="16" width="9.453125" customWidth="1"/>
    <col min="17" max="17" width="13.81640625" customWidth="1"/>
    <col min="18" max="18" width="9.453125" customWidth="1"/>
    <col min="20" max="20" width="12.26953125" customWidth="1"/>
    <col min="21" max="21" width="2.1796875" customWidth="1"/>
    <col min="23" max="23" width="12.81640625" customWidth="1"/>
    <col min="24" max="24" width="1.81640625" customWidth="1"/>
  </cols>
  <sheetData>
    <row r="1" spans="1:23" ht="24" customHeight="1" x14ac:dyDescent="0.35">
      <c r="A1" s="99" t="s">
        <v>0</v>
      </c>
      <c r="B1" s="99"/>
      <c r="C1" s="99"/>
      <c r="D1" s="99"/>
      <c r="E1" s="4"/>
      <c r="F1" s="100" t="s">
        <v>1</v>
      </c>
      <c r="G1" s="100"/>
      <c r="H1" s="100"/>
      <c r="I1" s="100"/>
      <c r="L1" s="97" t="s">
        <v>2</v>
      </c>
      <c r="M1" s="97"/>
      <c r="N1" s="5"/>
      <c r="O1" s="5"/>
      <c r="P1" s="97" t="s">
        <v>3</v>
      </c>
      <c r="Q1" s="97"/>
      <c r="R1" s="5"/>
      <c r="S1" s="97" t="s">
        <v>4</v>
      </c>
      <c r="T1" s="97"/>
      <c r="U1" s="6"/>
      <c r="V1" s="97" t="s">
        <v>4</v>
      </c>
      <c r="W1" s="97"/>
    </row>
    <row r="2" spans="1:23" s="6" customFormat="1" ht="16.5" customHeight="1" x14ac:dyDescent="0.35">
      <c r="A2" s="7" t="s">
        <v>5</v>
      </c>
      <c r="B2" s="8" t="s">
        <v>6</v>
      </c>
      <c r="C2" s="8" t="s">
        <v>7</v>
      </c>
      <c r="D2" s="9" t="s">
        <v>8</v>
      </c>
      <c r="E2" s="4"/>
      <c r="F2" s="10" t="s">
        <v>9</v>
      </c>
      <c r="G2" s="10" t="s">
        <v>10</v>
      </c>
      <c r="H2" s="10" t="s">
        <v>11</v>
      </c>
      <c r="I2" s="10" t="s">
        <v>12</v>
      </c>
      <c r="L2" s="10" t="s">
        <v>13</v>
      </c>
      <c r="M2" s="10" t="s">
        <v>10</v>
      </c>
      <c r="P2" s="10" t="s">
        <v>13</v>
      </c>
      <c r="Q2" s="10" t="s">
        <v>11</v>
      </c>
      <c r="S2" s="10" t="s">
        <v>13</v>
      </c>
      <c r="T2" s="10" t="s">
        <v>10</v>
      </c>
      <c r="V2" s="10" t="s">
        <v>13</v>
      </c>
      <c r="W2" s="10" t="s">
        <v>11</v>
      </c>
    </row>
    <row r="3" spans="1:23" ht="15" customHeight="1" x14ac:dyDescent="0.35">
      <c r="A3" s="82">
        <v>46264</v>
      </c>
      <c r="B3" s="11">
        <v>462</v>
      </c>
      <c r="C3" s="11">
        <v>227</v>
      </c>
      <c r="D3" s="12">
        <v>0.42</v>
      </c>
      <c r="F3" s="20" t="s">
        <v>14</v>
      </c>
      <c r="G3" s="21">
        <v>462</v>
      </c>
      <c r="H3" s="21">
        <v>227</v>
      </c>
      <c r="I3" s="31">
        <f t="shared" ref="I3" si="0">H3/G3</f>
        <v>0.49134199134199136</v>
      </c>
      <c r="L3" s="13" t="s">
        <v>15</v>
      </c>
      <c r="M3" s="14">
        <v>1231</v>
      </c>
      <c r="N3" s="3">
        <f>M3/$M$13</f>
        <v>0.30149399951016409</v>
      </c>
      <c r="O3" s="3"/>
      <c r="P3" s="13" t="s">
        <v>15</v>
      </c>
      <c r="Q3" s="14">
        <v>1106</v>
      </c>
      <c r="R3" s="3">
        <f t="shared" ref="R3:R13" si="1">Q3/$Q$13</f>
        <v>0.48149760557248583</v>
      </c>
      <c r="S3" s="16" t="str">
        <f t="shared" ref="S3:S13" si="2">L3</f>
        <v>SP</v>
      </c>
      <c r="T3" s="17">
        <f t="shared" ref="T3:T13" si="3">IFERROR((M17-M3)/M3,"")</f>
        <v>1.0560519902518278E-2</v>
      </c>
      <c r="V3" s="16" t="str">
        <f t="shared" ref="V3:V13" si="4">P3</f>
        <v>SP</v>
      </c>
      <c r="W3" s="17">
        <f>IFERROR((Q17-Q3)/Q3,"")</f>
        <v>-1.0849909584086799E-2</v>
      </c>
    </row>
    <row r="4" spans="1:23" ht="14.25" customHeight="1" x14ac:dyDescent="0.35">
      <c r="A4" s="82">
        <v>46265</v>
      </c>
      <c r="B4" s="11">
        <v>705</v>
      </c>
      <c r="C4" s="11">
        <v>426</v>
      </c>
      <c r="D4" s="84">
        <v>0.41</v>
      </c>
      <c r="F4" s="13" t="s">
        <v>16</v>
      </c>
      <c r="G4" s="14">
        <v>705</v>
      </c>
      <c r="H4" s="14">
        <v>426</v>
      </c>
      <c r="I4" s="15">
        <f t="shared" ref="I4:I9" si="5">H4/G4</f>
        <v>0.60425531914893615</v>
      </c>
      <c r="L4" s="20" t="s">
        <v>17</v>
      </c>
      <c r="M4" s="21">
        <v>185</v>
      </c>
      <c r="N4" s="3">
        <f t="shared" ref="N4:N13" si="6">M4/$M$13</f>
        <v>4.5309821209894685E-2</v>
      </c>
      <c r="O4" s="3"/>
      <c r="P4" s="20" t="s">
        <v>17</v>
      </c>
      <c r="Q4" s="21">
        <v>176</v>
      </c>
      <c r="R4" s="3">
        <f t="shared" si="1"/>
        <v>7.6621680452764476E-2</v>
      </c>
      <c r="S4" s="16" t="str">
        <f t="shared" si="2"/>
        <v>RJ</v>
      </c>
      <c r="T4" s="17">
        <f t="shared" si="3"/>
        <v>4.3243243243243246E-2</v>
      </c>
      <c r="V4" s="16" t="str">
        <f t="shared" si="4"/>
        <v>RJ</v>
      </c>
      <c r="W4" s="17">
        <f>IFERROR((Q18-Q4)/Q4,"")</f>
        <v>4.5454545454545456E-2</v>
      </c>
    </row>
    <row r="5" spans="1:23" ht="14.25" customHeight="1" x14ac:dyDescent="0.35">
      <c r="A5" s="83">
        <v>46266</v>
      </c>
      <c r="B5" s="18">
        <v>679</v>
      </c>
      <c r="C5" s="18">
        <v>372</v>
      </c>
      <c r="D5" s="19">
        <v>0.39</v>
      </c>
      <c r="F5" s="20" t="s">
        <v>18</v>
      </c>
      <c r="G5" s="21">
        <v>679</v>
      </c>
      <c r="H5" s="21">
        <v>372</v>
      </c>
      <c r="I5" s="15">
        <f t="shared" si="5"/>
        <v>0.54786450662739328</v>
      </c>
      <c r="L5" s="20" t="s">
        <v>19</v>
      </c>
      <c r="M5" s="21">
        <v>231</v>
      </c>
      <c r="N5" s="3">
        <f t="shared" si="6"/>
        <v>5.657604702424688E-2</v>
      </c>
      <c r="O5" s="3"/>
      <c r="P5" s="20" t="s">
        <v>19</v>
      </c>
      <c r="Q5" s="21">
        <v>211</v>
      </c>
      <c r="R5" s="3">
        <f t="shared" si="1"/>
        <v>9.1858946451893769E-2</v>
      </c>
      <c r="S5" s="16" t="str">
        <f t="shared" si="2"/>
        <v>MG</v>
      </c>
      <c r="T5" s="17">
        <f t="shared" si="3"/>
        <v>-0.17316017316017315</v>
      </c>
      <c r="V5" s="16" t="str">
        <f t="shared" si="4"/>
        <v>MG</v>
      </c>
      <c r="W5" s="17">
        <f>IFERROR((Q19-Q5)/Q5,"")</f>
        <v>-5.6872037914691941E-2</v>
      </c>
    </row>
    <row r="6" spans="1:23" ht="14.25" customHeight="1" x14ac:dyDescent="0.35">
      <c r="A6" s="83">
        <v>46267</v>
      </c>
      <c r="B6" s="18">
        <v>698</v>
      </c>
      <c r="C6" s="18">
        <v>365</v>
      </c>
      <c r="D6" s="19">
        <v>0.38</v>
      </c>
      <c r="F6" s="20" t="s">
        <v>20</v>
      </c>
      <c r="G6" s="21">
        <v>698</v>
      </c>
      <c r="H6" s="21">
        <v>365</v>
      </c>
      <c r="I6" s="15">
        <f t="shared" si="5"/>
        <v>0.52292263610315182</v>
      </c>
      <c r="L6" s="20" t="s">
        <v>21</v>
      </c>
      <c r="M6" s="21">
        <v>161</v>
      </c>
      <c r="N6" s="3">
        <f t="shared" si="6"/>
        <v>3.9431790350232671E-2</v>
      </c>
      <c r="O6" s="3"/>
      <c r="P6" s="20" t="s">
        <v>21</v>
      </c>
      <c r="Q6" s="21">
        <v>150</v>
      </c>
      <c r="R6" s="3">
        <f t="shared" si="1"/>
        <v>6.5302568567696992E-2</v>
      </c>
      <c r="S6" s="16" t="str">
        <f t="shared" si="2"/>
        <v>PR</v>
      </c>
      <c r="T6" s="17">
        <f t="shared" si="3"/>
        <v>-0.13664596273291926</v>
      </c>
      <c r="V6" s="16" t="str">
        <f t="shared" si="4"/>
        <v>PR</v>
      </c>
      <c r="W6" s="17">
        <f>IFERROR((Q20-Q6)/Q6,"")</f>
        <v>-0.14000000000000001</v>
      </c>
    </row>
    <row r="7" spans="1:23" ht="14.25" customHeight="1" x14ac:dyDescent="0.35">
      <c r="A7" s="83">
        <v>46268</v>
      </c>
      <c r="B7" s="18">
        <v>639</v>
      </c>
      <c r="C7" s="18">
        <v>394</v>
      </c>
      <c r="D7" s="19">
        <v>0.43</v>
      </c>
      <c r="F7" s="20" t="s">
        <v>22</v>
      </c>
      <c r="G7" s="21">
        <v>639</v>
      </c>
      <c r="H7" s="21">
        <v>394</v>
      </c>
      <c r="I7" s="15">
        <f t="shared" si="5"/>
        <v>0.61658841940532083</v>
      </c>
      <c r="L7" s="20" t="s">
        <v>23</v>
      </c>
      <c r="M7" s="21">
        <v>61</v>
      </c>
      <c r="N7" s="3">
        <f t="shared" si="6"/>
        <v>1.493999510164095E-2</v>
      </c>
      <c r="O7" s="3"/>
      <c r="P7" s="20" t="s">
        <v>23</v>
      </c>
      <c r="Q7" s="21">
        <v>60</v>
      </c>
      <c r="R7" s="3">
        <f t="shared" si="1"/>
        <v>2.6121027427078797E-2</v>
      </c>
      <c r="S7" s="16" t="str">
        <f t="shared" si="2"/>
        <v>SC</v>
      </c>
      <c r="T7" s="17">
        <f t="shared" si="3"/>
        <v>-0.19672131147540983</v>
      </c>
      <c r="V7" s="16" t="str">
        <f t="shared" si="4"/>
        <v>SC</v>
      </c>
      <c r="W7" s="17">
        <f>IFERROR((Q21-Q7)/Q7,"")</f>
        <v>-0.16666666666666666</v>
      </c>
    </row>
    <row r="8" spans="1:23" ht="14.25" customHeight="1" x14ac:dyDescent="0.35">
      <c r="A8" s="83">
        <v>46269</v>
      </c>
      <c r="B8" s="18">
        <v>498</v>
      </c>
      <c r="C8" s="18">
        <v>289</v>
      </c>
      <c r="D8" s="19">
        <v>0.41</v>
      </c>
      <c r="F8" s="20" t="s">
        <v>24</v>
      </c>
      <c r="G8" s="21">
        <v>498</v>
      </c>
      <c r="H8" s="21">
        <v>289</v>
      </c>
      <c r="I8" s="15">
        <f t="shared" si="5"/>
        <v>0.58032128514056225</v>
      </c>
      <c r="L8" s="20" t="s">
        <v>25</v>
      </c>
      <c r="M8" s="21">
        <v>56</v>
      </c>
      <c r="N8" s="3">
        <f t="shared" si="6"/>
        <v>1.3715405339211364E-2</v>
      </c>
      <c r="O8" s="3"/>
      <c r="P8" s="20" t="s">
        <v>25</v>
      </c>
      <c r="Q8" s="21">
        <v>49</v>
      </c>
      <c r="R8" s="3">
        <f t="shared" si="1"/>
        <v>2.1332172398781019E-2</v>
      </c>
      <c r="S8" s="16" t="str">
        <f t="shared" si="2"/>
        <v>RS</v>
      </c>
      <c r="T8" s="17">
        <f t="shared" si="3"/>
        <v>-0.30357142857142855</v>
      </c>
      <c r="V8" s="16" t="str">
        <f t="shared" si="4"/>
        <v>RS</v>
      </c>
      <c r="W8" s="17">
        <f>IFERROR((Q23-Q8)/Q8,"")</f>
        <v>1.4489795918367347</v>
      </c>
    </row>
    <row r="9" spans="1:23" ht="14.25" customHeight="1" x14ac:dyDescent="0.35">
      <c r="A9" s="83">
        <v>46270</v>
      </c>
      <c r="B9" s="18">
        <v>402</v>
      </c>
      <c r="C9" s="18">
        <v>224</v>
      </c>
      <c r="D9" s="19">
        <v>0.45</v>
      </c>
      <c r="F9" s="20" t="s">
        <v>26</v>
      </c>
      <c r="G9" s="21">
        <v>402</v>
      </c>
      <c r="H9" s="21">
        <v>224</v>
      </c>
      <c r="I9" s="15">
        <f t="shared" si="5"/>
        <v>0.55721393034825872</v>
      </c>
      <c r="L9" s="20" t="s">
        <v>27</v>
      </c>
      <c r="M9" s="21">
        <v>113</v>
      </c>
      <c r="N9" s="3">
        <f t="shared" si="6"/>
        <v>2.7675728630908645E-2</v>
      </c>
      <c r="O9" s="3"/>
      <c r="P9" s="20" t="s">
        <v>27</v>
      </c>
      <c r="Q9" s="21">
        <v>116</v>
      </c>
      <c r="R9" s="3">
        <f t="shared" si="1"/>
        <v>5.0500653025685675E-2</v>
      </c>
      <c r="S9" s="16" t="str">
        <f t="shared" si="2"/>
        <v>GO</v>
      </c>
      <c r="T9" s="17">
        <f t="shared" si="3"/>
        <v>0.12389380530973451</v>
      </c>
      <c r="V9" s="16" t="str">
        <f t="shared" si="4"/>
        <v>GO</v>
      </c>
      <c r="W9" s="17">
        <f>IFERROR((Q23-Q9)/Q9,"")</f>
        <v>3.4482758620689655E-2</v>
      </c>
    </row>
    <row r="10" spans="1:23" ht="14.25" customHeight="1" x14ac:dyDescent="0.35">
      <c r="A10" s="81">
        <v>46271</v>
      </c>
      <c r="B10" s="25">
        <v>468</v>
      </c>
      <c r="C10" s="25">
        <v>210</v>
      </c>
      <c r="D10" s="34">
        <v>0.37</v>
      </c>
      <c r="F10" s="22" t="s">
        <v>28</v>
      </c>
      <c r="G10" s="23">
        <f>SUMPRODUCT(G3:G9)</f>
        <v>4083</v>
      </c>
      <c r="H10" s="23">
        <f>SUMPRODUCT(H3:H9)</f>
        <v>2297</v>
      </c>
      <c r="I10" s="24">
        <f>H10/G10</f>
        <v>0.56257653686015185</v>
      </c>
      <c r="L10" s="20" t="s">
        <v>29</v>
      </c>
      <c r="M10" s="21">
        <v>86</v>
      </c>
      <c r="N10" s="3">
        <f t="shared" si="6"/>
        <v>2.1062943913788882E-2</v>
      </c>
      <c r="O10" s="3"/>
      <c r="P10" s="20" t="s">
        <v>29</v>
      </c>
      <c r="Q10" s="21">
        <v>91</v>
      </c>
      <c r="R10" s="3">
        <f t="shared" si="1"/>
        <v>3.9616891597736174E-2</v>
      </c>
      <c r="S10" s="16" t="str">
        <f t="shared" si="2"/>
        <v>BA</v>
      </c>
      <c r="T10" s="17">
        <f t="shared" si="3"/>
        <v>3.4883720930232558E-2</v>
      </c>
      <c r="V10" s="16" t="str">
        <f t="shared" si="4"/>
        <v>BA</v>
      </c>
      <c r="W10" s="17">
        <f>IFERROR((Q24-Q10)/Q10,"")</f>
        <v>2.197802197802198E-2</v>
      </c>
    </row>
    <row r="11" spans="1:23" x14ac:dyDescent="0.35">
      <c r="A11" s="81">
        <v>46272</v>
      </c>
      <c r="B11" s="25">
        <v>529</v>
      </c>
      <c r="C11" s="25">
        <v>278</v>
      </c>
      <c r="D11" s="34">
        <v>0.43</v>
      </c>
      <c r="L11" s="20" t="s">
        <v>30</v>
      </c>
      <c r="M11" s="21">
        <v>378</v>
      </c>
      <c r="N11" s="3">
        <f t="shared" si="6"/>
        <v>9.2578986039676708E-2</v>
      </c>
      <c r="O11" s="3"/>
      <c r="P11" s="20" t="s">
        <v>30</v>
      </c>
      <c r="Q11" s="21">
        <v>338</v>
      </c>
      <c r="R11" s="3">
        <f t="shared" si="1"/>
        <v>0.14714845450587724</v>
      </c>
      <c r="S11" s="16" t="str">
        <f t="shared" si="2"/>
        <v>Outros</v>
      </c>
      <c r="T11" s="17">
        <f t="shared" si="3"/>
        <v>3.968253968253968E-2</v>
      </c>
      <c r="V11" s="16" t="str">
        <f t="shared" si="4"/>
        <v>Outros</v>
      </c>
      <c r="W11" s="17">
        <f>IFERROR((Q25-Q11)/Q11,"")</f>
        <v>2.9585798816568047E-3</v>
      </c>
    </row>
    <row r="12" spans="1:23" ht="13.5" customHeight="1" x14ac:dyDescent="0.35">
      <c r="A12" s="81">
        <v>46273</v>
      </c>
      <c r="B12" s="25">
        <v>628</v>
      </c>
      <c r="C12" s="26">
        <v>398</v>
      </c>
      <c r="D12" s="27">
        <v>0.41</v>
      </c>
      <c r="L12" s="20" t="s">
        <v>31</v>
      </c>
      <c r="M12" s="21">
        <v>1581</v>
      </c>
      <c r="N12" s="3">
        <f t="shared" si="6"/>
        <v>0.3872152828802351</v>
      </c>
      <c r="O12" s="3"/>
      <c r="P12" s="20" t="s">
        <v>31</v>
      </c>
      <c r="Q12" s="21"/>
      <c r="R12" s="3">
        <f t="shared" si="1"/>
        <v>0</v>
      </c>
      <c r="S12" s="16" t="str">
        <f t="shared" si="2"/>
        <v>Vazias</v>
      </c>
      <c r="T12" s="17">
        <f t="shared" si="3"/>
        <v>-6.5148640101201777E-2</v>
      </c>
      <c r="V12" s="16" t="str">
        <f t="shared" si="4"/>
        <v>Vazias</v>
      </c>
      <c r="W12" s="17" t="str">
        <f>IFERROR((Q26-Q12)/Q12,"")</f>
        <v/>
      </c>
    </row>
    <row r="13" spans="1:23" ht="14.25" customHeight="1" x14ac:dyDescent="0.35">
      <c r="A13" s="81">
        <v>46274</v>
      </c>
      <c r="B13" s="25">
        <v>681</v>
      </c>
      <c r="C13" s="26">
        <v>453</v>
      </c>
      <c r="D13" s="27">
        <v>0.44346549192364171</v>
      </c>
      <c r="L13" s="28" t="s">
        <v>32</v>
      </c>
      <c r="M13" s="23">
        <f>SUMPRODUCT(M3:M12)</f>
        <v>4083</v>
      </c>
      <c r="N13" s="3">
        <f t="shared" si="6"/>
        <v>1</v>
      </c>
      <c r="O13" s="3"/>
      <c r="P13" s="28" t="s">
        <v>33</v>
      </c>
      <c r="Q13" s="23">
        <f>SUMPRODUCT(Q3:Q12)</f>
        <v>2297</v>
      </c>
      <c r="R13" s="3">
        <f t="shared" si="1"/>
        <v>1</v>
      </c>
      <c r="S13" s="29" t="str">
        <f t="shared" si="2"/>
        <v xml:space="preserve">total </v>
      </c>
      <c r="T13" s="30">
        <f t="shared" si="3"/>
        <v>-3.4533431300514325E-2</v>
      </c>
      <c r="V13" s="29" t="str">
        <f t="shared" si="4"/>
        <v>Total</v>
      </c>
      <c r="W13" s="30">
        <f>IFERROR((Q27-Q13)/Q13,"")</f>
        <v>-2.3944275141488898E-2</v>
      </c>
    </row>
    <row r="14" spans="1:23" ht="14.25" customHeight="1" x14ac:dyDescent="0.35">
      <c r="A14" s="81">
        <v>46275</v>
      </c>
      <c r="B14" s="25">
        <v>654</v>
      </c>
      <c r="C14" s="26">
        <v>412</v>
      </c>
      <c r="D14" s="27">
        <v>0.43577981651376146</v>
      </c>
      <c r="F14" s="10" t="s">
        <v>9</v>
      </c>
      <c r="G14" s="10" t="s">
        <v>10</v>
      </c>
      <c r="H14" s="10" t="s">
        <v>11</v>
      </c>
      <c r="I14" s="10" t="s">
        <v>12</v>
      </c>
      <c r="O14" t="s">
        <v>34</v>
      </c>
      <c r="S14" s="96" t="s">
        <v>35</v>
      </c>
      <c r="T14" s="96"/>
      <c r="U14" s="96"/>
      <c r="V14" s="96"/>
      <c r="W14" s="96"/>
    </row>
    <row r="15" spans="1:23" ht="14.25" customHeight="1" x14ac:dyDescent="0.35">
      <c r="A15" s="81">
        <v>46276</v>
      </c>
      <c r="B15" s="25">
        <v>533</v>
      </c>
      <c r="C15" s="25">
        <v>277</v>
      </c>
      <c r="D15" s="27">
        <v>0.37</v>
      </c>
      <c r="F15" s="20" t="s">
        <v>14</v>
      </c>
      <c r="G15" s="21">
        <v>468</v>
      </c>
      <c r="H15" s="21">
        <v>210</v>
      </c>
      <c r="I15" s="31">
        <f t="shared" ref="I15:I19" si="7">H15/G15</f>
        <v>0.44871794871794873</v>
      </c>
      <c r="O15">
        <f>M17/M3</f>
        <v>1.0105605199025183</v>
      </c>
    </row>
    <row r="16" spans="1:23" ht="14.25" customHeight="1" x14ac:dyDescent="0.35">
      <c r="A16" s="81">
        <v>46277</v>
      </c>
      <c r="B16" s="25">
        <v>448</v>
      </c>
      <c r="C16" s="25">
        <v>214</v>
      </c>
      <c r="D16" s="27">
        <v>0.39</v>
      </c>
      <c r="F16" s="13" t="s">
        <v>16</v>
      </c>
      <c r="G16" s="21">
        <v>529</v>
      </c>
      <c r="H16" s="21">
        <v>278</v>
      </c>
      <c r="I16" s="31">
        <f t="shared" si="7"/>
        <v>0.52551984877126656</v>
      </c>
      <c r="L16" s="10" t="s">
        <v>13</v>
      </c>
      <c r="M16" s="10" t="s">
        <v>10</v>
      </c>
      <c r="P16" s="10" t="s">
        <v>13</v>
      </c>
      <c r="Q16" s="10" t="s">
        <v>11</v>
      </c>
    </row>
    <row r="17" spans="1:23" ht="14.25" customHeight="1" x14ac:dyDescent="0.35">
      <c r="A17" s="83">
        <v>46278</v>
      </c>
      <c r="B17" s="18">
        <v>480</v>
      </c>
      <c r="C17" s="18">
        <v>224</v>
      </c>
      <c r="D17" s="19">
        <v>0.39</v>
      </c>
      <c r="F17" s="20" t="s">
        <v>18</v>
      </c>
      <c r="G17" s="21">
        <v>628</v>
      </c>
      <c r="H17" s="21">
        <v>398</v>
      </c>
      <c r="I17" s="31">
        <f t="shared" si="7"/>
        <v>0.63375796178343946</v>
      </c>
      <c r="L17" s="13" t="s">
        <v>15</v>
      </c>
      <c r="M17" s="14">
        <v>1244</v>
      </c>
      <c r="N17" s="3">
        <f>M17/$M$27</f>
        <v>0.31557584982242515</v>
      </c>
      <c r="P17" s="13" t="s">
        <v>15</v>
      </c>
      <c r="Q17" s="14">
        <v>1094</v>
      </c>
      <c r="R17" s="5"/>
      <c r="S17" s="98" t="s">
        <v>4</v>
      </c>
      <c r="T17" s="98"/>
      <c r="U17" s="6"/>
      <c r="V17" s="1" t="s">
        <v>4</v>
      </c>
      <c r="W17" s="1"/>
    </row>
    <row r="18" spans="1:23" ht="14.25" customHeight="1" x14ac:dyDescent="0.35">
      <c r="A18" s="83">
        <v>46279</v>
      </c>
      <c r="B18" s="18">
        <v>672</v>
      </c>
      <c r="C18" s="18">
        <v>441</v>
      </c>
      <c r="D18" s="19">
        <v>0.45</v>
      </c>
      <c r="F18" s="20" t="s">
        <v>20</v>
      </c>
      <c r="G18" s="21">
        <v>681</v>
      </c>
      <c r="H18" s="21">
        <v>453</v>
      </c>
      <c r="I18" s="31">
        <f t="shared" si="7"/>
        <v>0.66519823788546251</v>
      </c>
      <c r="L18" s="20" t="s">
        <v>17</v>
      </c>
      <c r="M18" s="21">
        <v>193</v>
      </c>
      <c r="N18" s="3">
        <f t="shared" ref="N18:N27" si="8">M18/$M$27</f>
        <v>4.8959918822932519E-2</v>
      </c>
      <c r="P18" s="20" t="s">
        <v>17</v>
      </c>
      <c r="Q18" s="21">
        <v>184</v>
      </c>
      <c r="S18" s="10" t="s">
        <v>13</v>
      </c>
      <c r="T18" s="10" t="s">
        <v>10</v>
      </c>
      <c r="V18" s="10" t="s">
        <v>13</v>
      </c>
      <c r="W18" s="10" t="s">
        <v>11</v>
      </c>
    </row>
    <row r="19" spans="1:23" ht="14.25" customHeight="1" x14ac:dyDescent="0.35">
      <c r="A19" s="83">
        <v>46280</v>
      </c>
      <c r="B19" s="18"/>
      <c r="C19" s="18"/>
      <c r="D19" s="32"/>
      <c r="F19" s="20" t="s">
        <v>22</v>
      </c>
      <c r="G19" s="21">
        <v>654</v>
      </c>
      <c r="H19" s="21">
        <v>412</v>
      </c>
      <c r="I19" s="31">
        <f t="shared" si="7"/>
        <v>0.62996941896024461</v>
      </c>
      <c r="L19" s="20" t="s">
        <v>19</v>
      </c>
      <c r="M19" s="21">
        <v>191</v>
      </c>
      <c r="N19" s="3">
        <f t="shared" si="8"/>
        <v>4.8452562151192285E-2</v>
      </c>
      <c r="P19" s="20" t="s">
        <v>19</v>
      </c>
      <c r="Q19" s="21">
        <v>199</v>
      </c>
      <c r="R19" s="3"/>
      <c r="S19" s="16" t="s">
        <v>15</v>
      </c>
      <c r="T19" s="17">
        <f t="shared" ref="T19:T29" si="9">IFERROR((M31-M17)/M17,"")</f>
        <v>-1</v>
      </c>
      <c r="V19" s="16" t="s">
        <v>15</v>
      </c>
      <c r="W19" s="17">
        <f>IFERROR((Q31-Q17)/Q17,"")</f>
        <v>-1</v>
      </c>
    </row>
    <row r="20" spans="1:23" ht="14.25" customHeight="1" x14ac:dyDescent="0.35">
      <c r="A20" s="83">
        <v>46281</v>
      </c>
      <c r="B20" s="18"/>
      <c r="C20" s="18"/>
      <c r="D20" s="32"/>
      <c r="F20" s="20" t="s">
        <v>24</v>
      </c>
      <c r="G20" s="21">
        <v>533</v>
      </c>
      <c r="H20" s="21">
        <v>277</v>
      </c>
      <c r="I20" s="31">
        <f>H20/G20</f>
        <v>0.51969981238273921</v>
      </c>
      <c r="L20" s="20" t="s">
        <v>21</v>
      </c>
      <c r="M20" s="21">
        <v>139</v>
      </c>
      <c r="N20" s="3">
        <f t="shared" si="8"/>
        <v>3.5261288685946218E-2</v>
      </c>
      <c r="P20" s="20" t="s">
        <v>21</v>
      </c>
      <c r="Q20" s="21">
        <v>129</v>
      </c>
      <c r="R20" s="3"/>
      <c r="S20" s="16" t="s">
        <v>17</v>
      </c>
      <c r="T20" s="17">
        <f t="shared" si="9"/>
        <v>-1</v>
      </c>
      <c r="V20" s="16" t="s">
        <v>17</v>
      </c>
      <c r="W20" s="17">
        <f t="shared" ref="W19:W29" si="10">IFERROR((Q32-Q18)/Q18,"")</f>
        <v>-1</v>
      </c>
    </row>
    <row r="21" spans="1:23" ht="14.25" customHeight="1" x14ac:dyDescent="0.35">
      <c r="A21" s="83">
        <v>46282</v>
      </c>
      <c r="B21" s="18"/>
      <c r="C21" s="18"/>
      <c r="D21" s="19"/>
      <c r="F21" s="20" t="s">
        <v>26</v>
      </c>
      <c r="G21" s="21">
        <v>448</v>
      </c>
      <c r="H21" s="21">
        <v>214</v>
      </c>
      <c r="I21" s="31">
        <f>H21/G21</f>
        <v>0.47767857142857145</v>
      </c>
      <c r="L21" s="20" t="s">
        <v>23</v>
      </c>
      <c r="M21" s="21">
        <v>49</v>
      </c>
      <c r="N21" s="3">
        <f t="shared" si="8"/>
        <v>1.2430238457635717E-2</v>
      </c>
      <c r="P21" s="20" t="s">
        <v>23</v>
      </c>
      <c r="Q21" s="21">
        <v>50</v>
      </c>
      <c r="R21" s="3"/>
      <c r="S21" s="16" t="s">
        <v>19</v>
      </c>
      <c r="T21" s="17">
        <f t="shared" si="9"/>
        <v>-1</v>
      </c>
      <c r="V21" s="16" t="s">
        <v>19</v>
      </c>
      <c r="W21" s="17">
        <f t="shared" si="10"/>
        <v>-1</v>
      </c>
    </row>
    <row r="22" spans="1:23" ht="14.25" customHeight="1" x14ac:dyDescent="0.35">
      <c r="A22" s="83">
        <v>46283</v>
      </c>
      <c r="B22" s="18"/>
      <c r="C22" s="18"/>
      <c r="D22" s="19"/>
      <c r="F22" s="22" t="s">
        <v>28</v>
      </c>
      <c r="G22" s="23">
        <f>SUMPRODUCT(G15:G21)</f>
        <v>3941</v>
      </c>
      <c r="H22" s="23">
        <f>SUMPRODUCT(H15:H21)</f>
        <v>2242</v>
      </c>
      <c r="I22" s="24">
        <f>AVERAGE(I15:I21)</f>
        <v>0.55722025713281043</v>
      </c>
      <c r="L22" s="20" t="s">
        <v>25</v>
      </c>
      <c r="M22" s="21">
        <v>39</v>
      </c>
      <c r="N22" s="3">
        <f t="shared" si="8"/>
        <v>9.8934550989345504E-3</v>
      </c>
      <c r="P22" s="20" t="s">
        <v>25</v>
      </c>
      <c r="Q22" s="33">
        <v>34</v>
      </c>
      <c r="R22" s="3"/>
      <c r="S22" s="16" t="s">
        <v>21</v>
      </c>
      <c r="T22" s="17">
        <f t="shared" si="9"/>
        <v>-1</v>
      </c>
      <c r="V22" s="16" t="s">
        <v>21</v>
      </c>
      <c r="W22" s="17">
        <f t="shared" si="10"/>
        <v>-1</v>
      </c>
    </row>
    <row r="23" spans="1:23" ht="14.25" customHeight="1" x14ac:dyDescent="0.35">
      <c r="A23" s="83">
        <v>46284</v>
      </c>
      <c r="B23" s="18"/>
      <c r="C23" s="18"/>
      <c r="D23" s="19"/>
      <c r="L23" s="20" t="s">
        <v>27</v>
      </c>
      <c r="M23" s="21">
        <v>127</v>
      </c>
      <c r="N23" s="3">
        <f t="shared" si="8"/>
        <v>3.2217148655504818E-2</v>
      </c>
      <c r="P23" s="20" t="s">
        <v>27</v>
      </c>
      <c r="Q23" s="21">
        <v>120</v>
      </c>
      <c r="R23" s="3"/>
      <c r="S23" s="16" t="s">
        <v>23</v>
      </c>
      <c r="T23" s="17">
        <f t="shared" si="9"/>
        <v>-1</v>
      </c>
      <c r="V23" s="16" t="s">
        <v>23</v>
      </c>
      <c r="W23" s="17">
        <f t="shared" si="10"/>
        <v>-1</v>
      </c>
    </row>
    <row r="24" spans="1:23" ht="14.25" customHeight="1" x14ac:dyDescent="0.35">
      <c r="A24" s="81">
        <v>46285</v>
      </c>
      <c r="B24" s="25"/>
      <c r="C24" s="25"/>
      <c r="D24" s="25"/>
      <c r="L24" s="20" t="s">
        <v>29</v>
      </c>
      <c r="M24" s="21">
        <v>89</v>
      </c>
      <c r="N24" s="3">
        <f t="shared" si="8"/>
        <v>2.2577371892440384E-2</v>
      </c>
      <c r="P24" s="20" t="s">
        <v>29</v>
      </c>
      <c r="Q24" s="21">
        <v>93</v>
      </c>
      <c r="R24" s="3"/>
      <c r="S24" s="16" t="s">
        <v>25</v>
      </c>
      <c r="T24" s="17">
        <f t="shared" si="9"/>
        <v>-1</v>
      </c>
      <c r="V24" s="16" t="s">
        <v>25</v>
      </c>
      <c r="W24" s="17">
        <f t="shared" si="10"/>
        <v>-1</v>
      </c>
    </row>
    <row r="25" spans="1:23" ht="14.25" customHeight="1" x14ac:dyDescent="0.35">
      <c r="A25" s="81">
        <v>46286</v>
      </c>
      <c r="B25" s="25"/>
      <c r="C25" s="25"/>
      <c r="D25" s="25"/>
      <c r="F25" s="10" t="s">
        <v>9</v>
      </c>
      <c r="G25" s="10" t="s">
        <v>10</v>
      </c>
      <c r="H25" s="10" t="s">
        <v>11</v>
      </c>
      <c r="I25" s="10" t="s">
        <v>12</v>
      </c>
      <c r="L25" s="20" t="s">
        <v>30</v>
      </c>
      <c r="M25" s="21">
        <v>393</v>
      </c>
      <c r="N25" s="3">
        <f t="shared" si="8"/>
        <v>9.9695585996955854E-2</v>
      </c>
      <c r="P25" s="20" t="s">
        <v>30</v>
      </c>
      <c r="Q25" s="21">
        <v>339</v>
      </c>
      <c r="R25" s="3"/>
      <c r="S25" s="16" t="s">
        <v>27</v>
      </c>
      <c r="T25" s="17">
        <f t="shared" si="9"/>
        <v>-1</v>
      </c>
      <c r="V25" s="16" t="s">
        <v>27</v>
      </c>
      <c r="W25" s="17">
        <f t="shared" si="10"/>
        <v>-1</v>
      </c>
    </row>
    <row r="26" spans="1:23" ht="14.25" customHeight="1" x14ac:dyDescent="0.35">
      <c r="A26" s="81">
        <v>46287</v>
      </c>
      <c r="B26" s="25"/>
      <c r="C26" s="25"/>
      <c r="D26" s="27"/>
      <c r="F26" s="20" t="s">
        <v>14</v>
      </c>
      <c r="G26" s="21">
        <v>480</v>
      </c>
      <c r="H26" s="21">
        <v>224</v>
      </c>
      <c r="I26" s="31">
        <f t="shared" ref="I26:I32" si="11">H26/G26</f>
        <v>0.46666666666666667</v>
      </c>
      <c r="L26" s="20" t="s">
        <v>31</v>
      </c>
      <c r="M26" s="21">
        <v>1478</v>
      </c>
      <c r="N26" s="3">
        <f t="shared" si="8"/>
        <v>0.37493658041603245</v>
      </c>
      <c r="P26" s="20" t="s">
        <v>31</v>
      </c>
      <c r="Q26" s="21">
        <v>0</v>
      </c>
      <c r="R26" s="3"/>
      <c r="S26" s="16" t="s">
        <v>29</v>
      </c>
      <c r="T26" s="17">
        <f t="shared" si="9"/>
        <v>-1</v>
      </c>
      <c r="V26" s="16" t="s">
        <v>29</v>
      </c>
      <c r="W26" s="17">
        <f t="shared" si="10"/>
        <v>-1</v>
      </c>
    </row>
    <row r="27" spans="1:23" ht="14.25" customHeight="1" x14ac:dyDescent="0.35">
      <c r="A27" s="81">
        <v>46288</v>
      </c>
      <c r="B27" s="25"/>
      <c r="C27" s="26"/>
      <c r="D27" s="27"/>
      <c r="F27" s="13" t="s">
        <v>16</v>
      </c>
      <c r="G27" s="21">
        <v>672</v>
      </c>
      <c r="H27" s="21">
        <v>441</v>
      </c>
      <c r="I27" s="31">
        <f t="shared" si="11"/>
        <v>0.65625</v>
      </c>
      <c r="L27" s="28" t="s">
        <v>32</v>
      </c>
      <c r="M27" s="23">
        <f>SUMPRODUCT(M17:M26)</f>
        <v>3942</v>
      </c>
      <c r="N27" s="3">
        <f t="shared" si="8"/>
        <v>1</v>
      </c>
      <c r="P27" s="28" t="s">
        <v>33</v>
      </c>
      <c r="Q27" s="23">
        <f>SUMPRODUCT(Q17:Q26)</f>
        <v>2242</v>
      </c>
      <c r="R27" s="3"/>
      <c r="S27" s="16" t="s">
        <v>30</v>
      </c>
      <c r="T27" s="17">
        <f t="shared" si="9"/>
        <v>-1</v>
      </c>
      <c r="V27" s="16" t="s">
        <v>30</v>
      </c>
      <c r="W27" s="17">
        <f t="shared" si="10"/>
        <v>-1</v>
      </c>
    </row>
    <row r="28" spans="1:23" ht="14.25" customHeight="1" x14ac:dyDescent="0.35">
      <c r="A28" s="81">
        <v>46289</v>
      </c>
      <c r="B28" s="25"/>
      <c r="C28" s="26"/>
      <c r="D28" s="27"/>
      <c r="F28" s="20" t="s">
        <v>18</v>
      </c>
      <c r="G28" s="21"/>
      <c r="H28" s="21"/>
      <c r="I28" s="31" t="e">
        <f t="shared" si="11"/>
        <v>#DIV/0!</v>
      </c>
      <c r="R28" s="3"/>
      <c r="S28" s="16" t="s">
        <v>31</v>
      </c>
      <c r="T28" s="17">
        <f t="shared" si="9"/>
        <v>-1</v>
      </c>
      <c r="V28" s="16" t="s">
        <v>31</v>
      </c>
      <c r="W28" s="17" t="str">
        <f t="shared" si="10"/>
        <v/>
      </c>
    </row>
    <row r="29" spans="1:23" ht="14.25" customHeight="1" x14ac:dyDescent="0.35">
      <c r="A29" s="81">
        <v>46290</v>
      </c>
      <c r="B29" s="25"/>
      <c r="C29" s="25"/>
      <c r="D29" s="34"/>
      <c r="F29" s="20" t="s">
        <v>20</v>
      </c>
      <c r="G29" s="21"/>
      <c r="H29" s="21"/>
      <c r="I29" s="31" t="e">
        <f t="shared" si="11"/>
        <v>#DIV/0!</v>
      </c>
      <c r="R29" s="3"/>
      <c r="S29" s="29" t="s">
        <v>32</v>
      </c>
      <c r="T29" s="17">
        <f t="shared" si="9"/>
        <v>-1</v>
      </c>
      <c r="V29" s="29" t="s">
        <v>33</v>
      </c>
      <c r="W29" s="17">
        <f t="shared" si="10"/>
        <v>-1</v>
      </c>
    </row>
    <row r="30" spans="1:23" ht="14.25" customHeight="1" x14ac:dyDescent="0.35">
      <c r="A30" s="81">
        <v>46291</v>
      </c>
      <c r="B30" s="25"/>
      <c r="C30" s="25"/>
      <c r="D30" s="34"/>
      <c r="F30" s="20" t="s">
        <v>22</v>
      </c>
      <c r="G30" s="21"/>
      <c r="H30" s="21"/>
      <c r="I30" s="31" t="e">
        <f t="shared" si="11"/>
        <v>#DIV/0!</v>
      </c>
      <c r="L30" s="10" t="s">
        <v>13</v>
      </c>
      <c r="M30" s="10" t="s">
        <v>10</v>
      </c>
      <c r="O30">
        <f>M31/M17</f>
        <v>0</v>
      </c>
      <c r="P30" s="10" t="s">
        <v>13</v>
      </c>
      <c r="Q30" s="10" t="s">
        <v>11</v>
      </c>
      <c r="S30" s="96" t="s">
        <v>86</v>
      </c>
      <c r="T30" s="96"/>
      <c r="U30" s="96"/>
      <c r="V30" s="96"/>
      <c r="W30" s="96"/>
    </row>
    <row r="31" spans="1:23" ht="14.25" customHeight="1" x14ac:dyDescent="0.35">
      <c r="A31" s="83">
        <v>46292</v>
      </c>
      <c r="B31" s="18"/>
      <c r="C31" s="18"/>
      <c r="D31" s="18"/>
      <c r="F31" s="20" t="s">
        <v>24</v>
      </c>
      <c r="G31" s="21"/>
      <c r="H31" s="21"/>
      <c r="I31" s="31" t="e">
        <f t="shared" si="11"/>
        <v>#DIV/0!</v>
      </c>
      <c r="L31" s="13" t="s">
        <v>15</v>
      </c>
      <c r="M31" s="14"/>
      <c r="N31" s="3" t="e">
        <f>M31/$M$41</f>
        <v>#DIV/0!</v>
      </c>
      <c r="P31" s="13" t="s">
        <v>15</v>
      </c>
      <c r="Q31" s="14"/>
    </row>
    <row r="32" spans="1:23" ht="14.25" customHeight="1" x14ac:dyDescent="0.35">
      <c r="A32" s="83">
        <v>46293</v>
      </c>
      <c r="B32" s="18"/>
      <c r="C32" s="18"/>
      <c r="D32" s="18"/>
      <c r="F32" s="20" t="s">
        <v>26</v>
      </c>
      <c r="G32" s="21"/>
      <c r="H32" s="21"/>
      <c r="I32" s="31" t="e">
        <f t="shared" si="11"/>
        <v>#DIV/0!</v>
      </c>
      <c r="L32" s="20" t="s">
        <v>17</v>
      </c>
      <c r="M32" s="14"/>
      <c r="N32" s="3" t="e">
        <f>M32/$M$41</f>
        <v>#DIV/0!</v>
      </c>
      <c r="P32" s="20" t="s">
        <v>17</v>
      </c>
      <c r="Q32" s="21"/>
    </row>
    <row r="33" spans="1:23" ht="14.25" customHeight="1" x14ac:dyDescent="0.35">
      <c r="A33" s="83">
        <v>46294</v>
      </c>
      <c r="B33" s="18"/>
      <c r="C33" s="18"/>
      <c r="D33" s="19"/>
      <c r="F33" s="22" t="s">
        <v>28</v>
      </c>
      <c r="G33" s="23">
        <f>SUMPRODUCT(G26:G32)</f>
        <v>1152</v>
      </c>
      <c r="H33" s="23">
        <f>SUMPRODUCT(H26:H32)</f>
        <v>665</v>
      </c>
      <c r="I33" s="24" t="e">
        <f>AVERAGE(I26:I32)</f>
        <v>#DIV/0!</v>
      </c>
      <c r="L33" s="20" t="s">
        <v>19</v>
      </c>
      <c r="M33" s="14"/>
      <c r="N33" s="3" t="e">
        <f t="shared" ref="N33:N41" si="12">M33/$M$41</f>
        <v>#DIV/0!</v>
      </c>
      <c r="P33" s="20" t="s">
        <v>19</v>
      </c>
      <c r="Q33" s="21"/>
    </row>
    <row r="34" spans="1:23" ht="14.25" customHeight="1" x14ac:dyDescent="0.35">
      <c r="A34" s="83">
        <v>46295</v>
      </c>
      <c r="B34" s="18"/>
      <c r="C34" s="18"/>
      <c r="D34" s="19"/>
      <c r="L34" s="20" t="s">
        <v>21</v>
      </c>
      <c r="M34" s="14"/>
      <c r="N34" s="3" t="e">
        <f t="shared" si="12"/>
        <v>#DIV/0!</v>
      </c>
      <c r="P34" s="20" t="s">
        <v>21</v>
      </c>
      <c r="Q34" s="21"/>
      <c r="S34" s="98" t="s">
        <v>4</v>
      </c>
      <c r="T34" s="98"/>
      <c r="U34" s="6"/>
      <c r="V34" s="1" t="s">
        <v>4</v>
      </c>
      <c r="W34" s="1"/>
    </row>
    <row r="35" spans="1:23" ht="14.25" customHeight="1" x14ac:dyDescent="0.35">
      <c r="A35" s="82">
        <v>46296</v>
      </c>
      <c r="B35" s="35"/>
      <c r="C35" s="35"/>
      <c r="D35" s="12"/>
      <c r="L35" s="20" t="s">
        <v>23</v>
      </c>
      <c r="M35" s="14"/>
      <c r="N35" s="3" t="e">
        <f t="shared" si="12"/>
        <v>#DIV/0!</v>
      </c>
      <c r="P35" s="20" t="s">
        <v>23</v>
      </c>
      <c r="Q35" s="21"/>
      <c r="S35" s="10" t="s">
        <v>13</v>
      </c>
      <c r="T35" s="10" t="s">
        <v>10</v>
      </c>
      <c r="V35" s="10" t="s">
        <v>13</v>
      </c>
      <c r="W35" s="10" t="s">
        <v>11</v>
      </c>
    </row>
    <row r="36" spans="1:23" ht="14.25" customHeight="1" x14ac:dyDescent="0.35">
      <c r="A36" s="82">
        <v>46297</v>
      </c>
      <c r="B36" s="35"/>
      <c r="C36" s="35"/>
      <c r="D36" s="12"/>
      <c r="F36" s="10" t="s">
        <v>9</v>
      </c>
      <c r="G36" s="10" t="s">
        <v>10</v>
      </c>
      <c r="H36" s="10" t="s">
        <v>11</v>
      </c>
      <c r="I36" s="10" t="s">
        <v>12</v>
      </c>
      <c r="L36" s="20" t="s">
        <v>25</v>
      </c>
      <c r="M36" s="14"/>
      <c r="N36" s="3" t="e">
        <f t="shared" si="12"/>
        <v>#DIV/0!</v>
      </c>
      <c r="P36" s="20" t="s">
        <v>25</v>
      </c>
      <c r="Q36" s="33"/>
      <c r="S36" s="16" t="s">
        <v>15</v>
      </c>
      <c r="T36" s="17" t="str">
        <f>IFERROR((M45-M31)/M31,"")</f>
        <v/>
      </c>
      <c r="V36" s="16" t="s">
        <v>15</v>
      </c>
      <c r="W36" s="17" t="str">
        <f t="shared" ref="W36:W46" si="13">IFERROR((Q45-Q31)/Q31,"")</f>
        <v/>
      </c>
    </row>
    <row r="37" spans="1:23" ht="14.25" customHeight="1" x14ac:dyDescent="0.35">
      <c r="A37" s="82">
        <v>46298</v>
      </c>
      <c r="B37" s="35"/>
      <c r="C37" s="35"/>
      <c r="D37" s="12"/>
      <c r="F37" s="20" t="s">
        <v>14</v>
      </c>
      <c r="G37" s="21"/>
      <c r="H37" s="21"/>
      <c r="I37" s="31" t="e">
        <f t="shared" ref="I37:I43" si="14">H37/G37</f>
        <v>#DIV/0!</v>
      </c>
      <c r="L37" s="20" t="s">
        <v>27</v>
      </c>
      <c r="M37" s="14"/>
      <c r="N37" s="3" t="e">
        <f t="shared" si="12"/>
        <v>#DIV/0!</v>
      </c>
      <c r="P37" s="20" t="s">
        <v>27</v>
      </c>
      <c r="Q37" s="21"/>
      <c r="S37" s="16" t="s">
        <v>17</v>
      </c>
      <c r="T37" s="17" t="str">
        <f t="shared" ref="T37:T46" si="15">IFERROR((M46-M32)/M32,"")</f>
        <v/>
      </c>
      <c r="V37" s="16" t="s">
        <v>17</v>
      </c>
      <c r="W37" s="17" t="str">
        <f>IFERROR((Q46-Q32)/Q32,"")</f>
        <v/>
      </c>
    </row>
    <row r="38" spans="1:23" ht="14.25" customHeight="1" x14ac:dyDescent="0.35">
      <c r="D38"/>
      <c r="F38" s="13" t="s">
        <v>16</v>
      </c>
      <c r="G38" s="21"/>
      <c r="H38" s="21"/>
      <c r="I38" s="31" t="e">
        <f t="shared" si="14"/>
        <v>#DIV/0!</v>
      </c>
      <c r="L38" s="20" t="s">
        <v>29</v>
      </c>
      <c r="M38" s="14"/>
      <c r="N38" s="3" t="e">
        <f t="shared" si="12"/>
        <v>#DIV/0!</v>
      </c>
      <c r="P38" s="20" t="s">
        <v>29</v>
      </c>
      <c r="Q38" s="21"/>
      <c r="S38" s="16" t="s">
        <v>19</v>
      </c>
      <c r="T38" s="17" t="str">
        <f t="shared" si="15"/>
        <v/>
      </c>
      <c r="V38" s="16" t="s">
        <v>19</v>
      </c>
      <c r="W38" s="17" t="str">
        <f t="shared" si="13"/>
        <v/>
      </c>
    </row>
    <row r="39" spans="1:23" ht="14.25" customHeight="1" x14ac:dyDescent="0.35">
      <c r="D39"/>
      <c r="F39" s="20" t="s">
        <v>18</v>
      </c>
      <c r="G39" s="21"/>
      <c r="H39" s="21"/>
      <c r="I39" s="31" t="e">
        <f t="shared" si="14"/>
        <v>#DIV/0!</v>
      </c>
      <c r="L39" s="20" t="s">
        <v>30</v>
      </c>
      <c r="M39" s="14"/>
      <c r="N39" s="3" t="e">
        <f t="shared" si="12"/>
        <v>#DIV/0!</v>
      </c>
      <c r="P39" s="20" t="s">
        <v>30</v>
      </c>
      <c r="Q39" s="21"/>
      <c r="S39" s="16" t="s">
        <v>21</v>
      </c>
      <c r="T39" s="17" t="str">
        <f t="shared" si="15"/>
        <v/>
      </c>
      <c r="V39" s="16" t="s">
        <v>21</v>
      </c>
      <c r="W39" s="17" t="str">
        <f t="shared" si="13"/>
        <v/>
      </c>
    </row>
    <row r="40" spans="1:23" x14ac:dyDescent="0.35">
      <c r="F40" s="20" t="s">
        <v>20</v>
      </c>
      <c r="G40" s="21"/>
      <c r="H40" s="21"/>
      <c r="I40" s="31" t="e">
        <f t="shared" si="14"/>
        <v>#DIV/0!</v>
      </c>
      <c r="L40" s="20" t="s">
        <v>31</v>
      </c>
      <c r="M40" s="14"/>
      <c r="N40" s="3" t="e">
        <f t="shared" si="12"/>
        <v>#DIV/0!</v>
      </c>
      <c r="P40" s="20" t="s">
        <v>31</v>
      </c>
      <c r="Q40" s="21"/>
      <c r="S40" s="16" t="s">
        <v>23</v>
      </c>
      <c r="T40" s="17" t="str">
        <f t="shared" si="15"/>
        <v/>
      </c>
      <c r="V40" s="16" t="s">
        <v>23</v>
      </c>
      <c r="W40" s="17" t="str">
        <f t="shared" si="13"/>
        <v/>
      </c>
    </row>
    <row r="41" spans="1:23" x14ac:dyDescent="0.35">
      <c r="A41" s="85" t="s">
        <v>36</v>
      </c>
      <c r="B41" s="85">
        <f>SUMPRODUCT(B4:B34)</f>
        <v>8714</v>
      </c>
      <c r="C41" s="85">
        <f>SUMPRODUCT(C4:C34)</f>
        <v>4977</v>
      </c>
      <c r="D41" s="86"/>
      <c r="F41" s="20" t="s">
        <v>22</v>
      </c>
      <c r="G41" s="21"/>
      <c r="H41" s="21"/>
      <c r="I41" s="31" t="e">
        <f t="shared" si="14"/>
        <v>#DIV/0!</v>
      </c>
      <c r="L41" s="28" t="s">
        <v>32</v>
      </c>
      <c r="M41" s="23">
        <f>SUMPRODUCT(M31:M40)</f>
        <v>0</v>
      </c>
      <c r="N41" s="3" t="e">
        <f t="shared" si="12"/>
        <v>#DIV/0!</v>
      </c>
      <c r="P41" s="28" t="s">
        <v>33</v>
      </c>
      <c r="Q41" s="23">
        <f>SUMPRODUCT(Q31:Q40)</f>
        <v>0</v>
      </c>
      <c r="S41" s="16" t="s">
        <v>25</v>
      </c>
      <c r="T41" s="17" t="str">
        <f t="shared" si="15"/>
        <v/>
      </c>
      <c r="V41" s="16" t="s">
        <v>25</v>
      </c>
      <c r="W41" s="17" t="str">
        <f t="shared" si="13"/>
        <v/>
      </c>
    </row>
    <row r="42" spans="1:23" x14ac:dyDescent="0.35">
      <c r="F42" s="20" t="s">
        <v>24</v>
      </c>
      <c r="G42" s="21"/>
      <c r="H42" s="21"/>
      <c r="I42" s="31" t="e">
        <f t="shared" si="14"/>
        <v>#DIV/0!</v>
      </c>
      <c r="S42" s="16" t="s">
        <v>27</v>
      </c>
      <c r="T42" s="17" t="str">
        <f t="shared" si="15"/>
        <v/>
      </c>
      <c r="V42" s="16" t="s">
        <v>27</v>
      </c>
      <c r="W42" s="17" t="str">
        <f t="shared" si="13"/>
        <v/>
      </c>
    </row>
    <row r="43" spans="1:23" x14ac:dyDescent="0.35">
      <c r="F43" s="20" t="s">
        <v>26</v>
      </c>
      <c r="G43" s="21"/>
      <c r="H43" s="21"/>
      <c r="I43" s="31" t="e">
        <f t="shared" si="14"/>
        <v>#DIV/0!</v>
      </c>
      <c r="S43" s="16" t="s">
        <v>29</v>
      </c>
      <c r="T43" s="17" t="str">
        <f t="shared" si="15"/>
        <v/>
      </c>
      <c r="V43" s="16" t="s">
        <v>29</v>
      </c>
      <c r="W43" s="17" t="str">
        <f t="shared" si="13"/>
        <v/>
      </c>
    </row>
    <row r="44" spans="1:23" x14ac:dyDescent="0.35">
      <c r="F44" s="22" t="s">
        <v>28</v>
      </c>
      <c r="G44" s="23">
        <f>SUMPRODUCT(G37:G43)</f>
        <v>0</v>
      </c>
      <c r="H44" s="23">
        <f>SUMPRODUCT(H37:H43)</f>
        <v>0</v>
      </c>
      <c r="I44" s="24" t="e">
        <f>AVERAGE(I37:I43)</f>
        <v>#DIV/0!</v>
      </c>
      <c r="L44" s="10" t="s">
        <v>13</v>
      </c>
      <c r="M44" s="10" t="s">
        <v>10</v>
      </c>
      <c r="O44" t="e">
        <f>M45/M31</f>
        <v>#DIV/0!</v>
      </c>
      <c r="P44" s="10" t="s">
        <v>13</v>
      </c>
      <c r="Q44" s="10" t="s">
        <v>11</v>
      </c>
      <c r="S44" s="16" t="s">
        <v>30</v>
      </c>
      <c r="T44" s="17" t="str">
        <f t="shared" si="15"/>
        <v/>
      </c>
      <c r="V44" s="16" t="s">
        <v>30</v>
      </c>
      <c r="W44" s="17" t="str">
        <f t="shared" si="13"/>
        <v/>
      </c>
    </row>
    <row r="45" spans="1:23" x14ac:dyDescent="0.35">
      <c r="L45" s="13" t="s">
        <v>15</v>
      </c>
      <c r="M45" s="14"/>
      <c r="P45" s="13" t="s">
        <v>15</v>
      </c>
      <c r="Q45" s="14"/>
      <c r="S45" s="16" t="s">
        <v>31</v>
      </c>
      <c r="T45" s="17" t="str">
        <f t="shared" si="15"/>
        <v/>
      </c>
      <c r="V45" s="16" t="s">
        <v>31</v>
      </c>
      <c r="W45" s="17" t="str">
        <f t="shared" si="13"/>
        <v/>
      </c>
    </row>
    <row r="46" spans="1:23" x14ac:dyDescent="0.35">
      <c r="L46" s="20" t="s">
        <v>17</v>
      </c>
      <c r="M46" s="14"/>
      <c r="P46" s="20" t="s">
        <v>17</v>
      </c>
      <c r="Q46" s="21"/>
      <c r="S46" s="29" t="s">
        <v>32</v>
      </c>
      <c r="T46" s="17" t="str">
        <f t="shared" si="15"/>
        <v/>
      </c>
      <c r="V46" s="29" t="s">
        <v>33</v>
      </c>
      <c r="W46" s="17" t="str">
        <f t="shared" si="13"/>
        <v/>
      </c>
    </row>
    <row r="47" spans="1:23" x14ac:dyDescent="0.35">
      <c r="L47" s="20" t="s">
        <v>19</v>
      </c>
      <c r="M47" s="14"/>
      <c r="P47" s="20" t="s">
        <v>19</v>
      </c>
      <c r="Q47" s="21"/>
      <c r="S47" s="96" t="s">
        <v>88</v>
      </c>
      <c r="T47" s="96"/>
      <c r="U47" s="96"/>
      <c r="V47" s="96"/>
      <c r="W47" s="96"/>
    </row>
    <row r="48" spans="1:23" x14ac:dyDescent="0.35">
      <c r="L48" s="20" t="s">
        <v>21</v>
      </c>
      <c r="M48" s="14"/>
      <c r="P48" s="20" t="s">
        <v>21</v>
      </c>
      <c r="Q48" s="21"/>
    </row>
    <row r="49" spans="6:23" x14ac:dyDescent="0.35">
      <c r="F49" s="10" t="s">
        <v>9</v>
      </c>
      <c r="G49" s="10" t="s">
        <v>10</v>
      </c>
      <c r="H49" s="10" t="s">
        <v>11</v>
      </c>
      <c r="I49" s="10" t="s">
        <v>12</v>
      </c>
      <c r="L49" s="20" t="s">
        <v>23</v>
      </c>
      <c r="M49" s="14"/>
      <c r="P49" s="20" t="s">
        <v>23</v>
      </c>
      <c r="Q49" s="21"/>
    </row>
    <row r="50" spans="6:23" x14ac:dyDescent="0.35">
      <c r="F50" s="20" t="s">
        <v>14</v>
      </c>
      <c r="G50" s="21"/>
      <c r="H50" s="21"/>
      <c r="I50" s="31" t="e">
        <f t="shared" ref="I50:I56" si="16">H50/G50</f>
        <v>#DIV/0!</v>
      </c>
      <c r="L50" s="20" t="s">
        <v>25</v>
      </c>
      <c r="M50" s="14"/>
      <c r="P50" s="20" t="s">
        <v>25</v>
      </c>
      <c r="Q50" s="33"/>
    </row>
    <row r="51" spans="6:23" x14ac:dyDescent="0.35">
      <c r="F51" s="13" t="s">
        <v>16</v>
      </c>
      <c r="G51" s="21"/>
      <c r="H51" s="21"/>
      <c r="I51" s="31" t="e">
        <f t="shared" si="16"/>
        <v>#DIV/0!</v>
      </c>
      <c r="L51" s="20" t="s">
        <v>27</v>
      </c>
      <c r="M51" s="14"/>
      <c r="P51" s="20" t="s">
        <v>27</v>
      </c>
      <c r="Q51" s="21"/>
    </row>
    <row r="52" spans="6:23" x14ac:dyDescent="0.35">
      <c r="F52" s="20" t="s">
        <v>18</v>
      </c>
      <c r="G52" s="21"/>
      <c r="H52" s="21"/>
      <c r="I52" s="31" t="e">
        <f t="shared" si="16"/>
        <v>#DIV/0!</v>
      </c>
      <c r="L52" s="20" t="s">
        <v>29</v>
      </c>
      <c r="M52" s="14"/>
      <c r="P52" s="20" t="s">
        <v>29</v>
      </c>
      <c r="Q52" s="21"/>
    </row>
    <row r="53" spans="6:23" x14ac:dyDescent="0.35">
      <c r="F53" s="20" t="s">
        <v>20</v>
      </c>
      <c r="G53" s="21"/>
      <c r="H53" s="21"/>
      <c r="I53" s="31" t="e">
        <f t="shared" si="16"/>
        <v>#DIV/0!</v>
      </c>
      <c r="L53" s="20" t="s">
        <v>30</v>
      </c>
      <c r="M53" s="14"/>
      <c r="P53" s="20" t="s">
        <v>30</v>
      </c>
      <c r="Q53" s="21"/>
    </row>
    <row r="54" spans="6:23" x14ac:dyDescent="0.35">
      <c r="F54" s="20" t="s">
        <v>22</v>
      </c>
      <c r="G54" s="21"/>
      <c r="H54" s="21"/>
      <c r="I54" s="31" t="e">
        <f t="shared" si="16"/>
        <v>#DIV/0!</v>
      </c>
      <c r="L54" s="20" t="s">
        <v>31</v>
      </c>
      <c r="M54" s="14"/>
      <c r="P54" s="20" t="s">
        <v>31</v>
      </c>
      <c r="Q54" s="21"/>
    </row>
    <row r="55" spans="6:23" x14ac:dyDescent="0.35">
      <c r="F55" s="20" t="s">
        <v>24</v>
      </c>
      <c r="G55" s="21"/>
      <c r="H55" s="21"/>
      <c r="I55" s="31" t="e">
        <f t="shared" si="16"/>
        <v>#DIV/0!</v>
      </c>
      <c r="L55" s="28" t="s">
        <v>32</v>
      </c>
      <c r="M55" s="23">
        <f>SUMPRODUCT(M45:M54)</f>
        <v>0</v>
      </c>
      <c r="P55" s="28" t="s">
        <v>33</v>
      </c>
      <c r="Q55" s="23">
        <f>SUMPRODUCT(Q45:Q54)</f>
        <v>0</v>
      </c>
      <c r="S55" s="98" t="s">
        <v>4</v>
      </c>
      <c r="T55" s="98"/>
      <c r="U55" s="6"/>
      <c r="V55" s="1" t="s">
        <v>4</v>
      </c>
      <c r="W55" s="1"/>
    </row>
    <row r="56" spans="6:23" x14ac:dyDescent="0.35">
      <c r="F56" s="20" t="s">
        <v>26</v>
      </c>
      <c r="G56" s="21"/>
      <c r="H56" s="21"/>
      <c r="I56" s="31" t="e">
        <f t="shared" si="16"/>
        <v>#DIV/0!</v>
      </c>
      <c r="S56" s="10" t="s">
        <v>13</v>
      </c>
      <c r="T56" s="10" t="s">
        <v>10</v>
      </c>
      <c r="V56" s="10" t="s">
        <v>13</v>
      </c>
      <c r="W56" s="10" t="s">
        <v>11</v>
      </c>
    </row>
    <row r="57" spans="6:23" x14ac:dyDescent="0.35">
      <c r="F57" s="22" t="s">
        <v>28</v>
      </c>
      <c r="G57" s="23">
        <f>SUMPRODUCT(G50:G56)</f>
        <v>0</v>
      </c>
      <c r="H57" s="23">
        <f>SUMPRODUCT(H50:H56)</f>
        <v>0</v>
      </c>
      <c r="I57" s="24" t="e">
        <f>AVERAGE(I50:I56)</f>
        <v>#DIV/0!</v>
      </c>
      <c r="S57" s="16" t="s">
        <v>15</v>
      </c>
      <c r="T57" s="17" t="str">
        <f>IFERROR((M66-M52)/M52,"")</f>
        <v/>
      </c>
      <c r="V57" s="16" t="s">
        <v>15</v>
      </c>
      <c r="W57" s="17" t="str">
        <f t="shared" ref="W57:W67" si="17">IFERROR((Q66-Q52)/Q52,"")</f>
        <v/>
      </c>
    </row>
    <row r="58" spans="6:23" x14ac:dyDescent="0.35">
      <c r="S58" s="16" t="s">
        <v>17</v>
      </c>
      <c r="T58" s="17" t="str">
        <f t="shared" ref="T58:T67" si="18">IFERROR((M67-M53)/M53,"")</f>
        <v/>
      </c>
      <c r="V58" s="16" t="s">
        <v>17</v>
      </c>
      <c r="W58" s="17" t="str">
        <f>IFERROR((Q67-Q53)/Q53,"")</f>
        <v/>
      </c>
    </row>
    <row r="59" spans="6:23" x14ac:dyDescent="0.35">
      <c r="L59" s="10" t="s">
        <v>13</v>
      </c>
      <c r="M59" s="10" t="s">
        <v>10</v>
      </c>
      <c r="O59" t="e">
        <f>M60/M46</f>
        <v>#DIV/0!</v>
      </c>
      <c r="P59" s="10" t="s">
        <v>13</v>
      </c>
      <c r="Q59" s="10" t="s">
        <v>11</v>
      </c>
      <c r="S59" s="16" t="s">
        <v>19</v>
      </c>
      <c r="T59" s="17" t="str">
        <f t="shared" si="18"/>
        <v/>
      </c>
      <c r="V59" s="16" t="s">
        <v>19</v>
      </c>
      <c r="W59" s="17" t="str">
        <f t="shared" ref="W59:W68" si="19">IFERROR((Q68-Q54)/Q54,"")</f>
        <v/>
      </c>
    </row>
    <row r="60" spans="6:23" x14ac:dyDescent="0.35">
      <c r="L60" s="13" t="s">
        <v>15</v>
      </c>
      <c r="M60" s="14"/>
      <c r="P60" s="13" t="s">
        <v>15</v>
      </c>
      <c r="Q60" s="14"/>
      <c r="S60" s="16" t="s">
        <v>21</v>
      </c>
      <c r="T60" s="17" t="str">
        <f t="shared" si="18"/>
        <v/>
      </c>
      <c r="V60" s="16" t="s">
        <v>21</v>
      </c>
      <c r="W60" s="17" t="str">
        <f t="shared" si="19"/>
        <v/>
      </c>
    </row>
    <row r="61" spans="6:23" x14ac:dyDescent="0.35">
      <c r="L61" s="20" t="s">
        <v>17</v>
      </c>
      <c r="M61" s="14"/>
      <c r="P61" s="20" t="s">
        <v>17</v>
      </c>
      <c r="Q61" s="21"/>
      <c r="S61" s="16" t="s">
        <v>23</v>
      </c>
      <c r="T61" s="17" t="str">
        <f t="shared" si="18"/>
        <v/>
      </c>
      <c r="V61" s="16" t="s">
        <v>23</v>
      </c>
      <c r="W61" s="17" t="str">
        <f t="shared" si="19"/>
        <v/>
      </c>
    </row>
    <row r="62" spans="6:23" x14ac:dyDescent="0.35">
      <c r="L62" s="20" t="s">
        <v>19</v>
      </c>
      <c r="M62" s="14"/>
      <c r="P62" s="20" t="s">
        <v>19</v>
      </c>
      <c r="Q62" s="21"/>
      <c r="S62" s="16" t="s">
        <v>25</v>
      </c>
      <c r="T62" s="17" t="str">
        <f t="shared" si="18"/>
        <v/>
      </c>
      <c r="V62" s="16" t="s">
        <v>25</v>
      </c>
      <c r="W62" s="17" t="str">
        <f t="shared" si="19"/>
        <v/>
      </c>
    </row>
    <row r="63" spans="6:23" x14ac:dyDescent="0.35">
      <c r="L63" s="20" t="s">
        <v>21</v>
      </c>
      <c r="M63" s="14"/>
      <c r="P63" s="20" t="s">
        <v>21</v>
      </c>
      <c r="Q63" s="21"/>
      <c r="S63" s="16" t="s">
        <v>27</v>
      </c>
      <c r="T63" s="17" t="str">
        <f t="shared" si="18"/>
        <v/>
      </c>
      <c r="V63" s="16" t="s">
        <v>27</v>
      </c>
      <c r="W63" s="17" t="str">
        <f t="shared" si="19"/>
        <v/>
      </c>
    </row>
    <row r="64" spans="6:23" x14ac:dyDescent="0.35">
      <c r="L64" s="20" t="s">
        <v>23</v>
      </c>
      <c r="M64" s="14"/>
      <c r="P64" s="20" t="s">
        <v>23</v>
      </c>
      <c r="Q64" s="21"/>
      <c r="S64" s="16" t="s">
        <v>29</v>
      </c>
      <c r="T64" s="17" t="str">
        <f t="shared" si="18"/>
        <v/>
      </c>
      <c r="V64" s="16" t="s">
        <v>29</v>
      </c>
      <c r="W64" s="17" t="str">
        <f t="shared" si="19"/>
        <v/>
      </c>
    </row>
    <row r="65" spans="12:23" x14ac:dyDescent="0.35">
      <c r="L65" s="20" t="s">
        <v>25</v>
      </c>
      <c r="M65" s="14"/>
      <c r="P65" s="20" t="s">
        <v>25</v>
      </c>
      <c r="Q65" s="33"/>
      <c r="S65" s="16" t="s">
        <v>30</v>
      </c>
      <c r="T65" s="17" t="str">
        <f t="shared" si="18"/>
        <v/>
      </c>
      <c r="V65" s="16" t="s">
        <v>30</v>
      </c>
      <c r="W65" s="17" t="str">
        <f t="shared" si="19"/>
        <v/>
      </c>
    </row>
    <row r="66" spans="12:23" x14ac:dyDescent="0.35">
      <c r="L66" s="20" t="s">
        <v>27</v>
      </c>
      <c r="M66" s="14"/>
      <c r="P66" s="20" t="s">
        <v>27</v>
      </c>
      <c r="Q66" s="21"/>
      <c r="S66" s="16" t="s">
        <v>31</v>
      </c>
      <c r="T66" s="17" t="str">
        <f t="shared" si="18"/>
        <v/>
      </c>
      <c r="V66" s="16" t="s">
        <v>31</v>
      </c>
      <c r="W66" s="17" t="str">
        <f t="shared" si="19"/>
        <v/>
      </c>
    </row>
    <row r="67" spans="12:23" x14ac:dyDescent="0.35">
      <c r="L67" s="20" t="s">
        <v>29</v>
      </c>
      <c r="M67" s="14"/>
      <c r="P67" s="20" t="s">
        <v>29</v>
      </c>
      <c r="Q67" s="21"/>
      <c r="S67" s="29" t="s">
        <v>32</v>
      </c>
      <c r="T67" s="17" t="str">
        <f t="shared" si="18"/>
        <v/>
      </c>
      <c r="V67" s="29" t="s">
        <v>33</v>
      </c>
      <c r="W67" s="17" t="str">
        <f t="shared" si="19"/>
        <v/>
      </c>
    </row>
    <row r="68" spans="12:23" x14ac:dyDescent="0.35">
      <c r="L68" s="20" t="s">
        <v>30</v>
      </c>
      <c r="M68" s="14"/>
      <c r="P68" s="20" t="s">
        <v>30</v>
      </c>
      <c r="Q68" s="21"/>
      <c r="S68" s="96" t="s">
        <v>91</v>
      </c>
      <c r="T68" s="96"/>
      <c r="U68" s="96"/>
      <c r="V68" s="96"/>
      <c r="W68" s="96"/>
    </row>
    <row r="69" spans="12:23" x14ac:dyDescent="0.35">
      <c r="L69" s="20" t="s">
        <v>31</v>
      </c>
      <c r="M69" s="14"/>
      <c r="P69" s="20" t="s">
        <v>31</v>
      </c>
      <c r="Q69" s="21"/>
    </row>
    <row r="70" spans="12:23" x14ac:dyDescent="0.35">
      <c r="L70" s="28" t="s">
        <v>32</v>
      </c>
      <c r="M70" s="23">
        <f>SUMPRODUCT(M60:M69)</f>
        <v>0</v>
      </c>
      <c r="P70" s="28" t="s">
        <v>33</v>
      </c>
      <c r="Q70" s="23">
        <f>SUMPRODUCT(Q60:Q69)</f>
        <v>0</v>
      </c>
    </row>
  </sheetData>
  <mergeCells count="13">
    <mergeCell ref="S55:T55"/>
    <mergeCell ref="S68:W68"/>
    <mergeCell ref="A1:D1"/>
    <mergeCell ref="F1:I1"/>
    <mergeCell ref="L1:M1"/>
    <mergeCell ref="P1:Q1"/>
    <mergeCell ref="S1:T1"/>
    <mergeCell ref="S47:W47"/>
    <mergeCell ref="V1:W1"/>
    <mergeCell ref="S14:W14"/>
    <mergeCell ref="S17:T17"/>
    <mergeCell ref="S30:W30"/>
    <mergeCell ref="S34:T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8"/>
  <sheetViews>
    <sheetView showGridLines="0" zoomScaleNormal="100" workbookViewId="0">
      <selection activeCell="I37" sqref="I37"/>
    </sheetView>
  </sheetViews>
  <sheetFormatPr defaultColWidth="8.54296875" defaultRowHeight="14.5" x14ac:dyDescent="0.35"/>
  <cols>
    <col min="1" max="1" width="17.1796875" customWidth="1"/>
    <col min="2" max="2" width="12.81640625" customWidth="1"/>
    <col min="3" max="3" width="13.81640625" customWidth="1"/>
    <col min="4" max="4" width="12.453125" customWidth="1"/>
    <col min="5" max="5" width="11.81640625" customWidth="1"/>
    <col min="6" max="6" width="9.54296875" customWidth="1"/>
    <col min="7" max="7" width="12.81640625" customWidth="1"/>
    <col min="8" max="8" width="14.54296875" customWidth="1"/>
    <col min="9" max="9" width="15.1796875" customWidth="1"/>
    <col min="10" max="10" width="3.453125" customWidth="1"/>
    <col min="12" max="12" width="12.81640625" customWidth="1"/>
    <col min="13" max="13" width="14.54296875" customWidth="1"/>
    <col min="14" max="14" width="17.1796875" customWidth="1"/>
    <col min="15" max="15" width="2.54296875" customWidth="1"/>
    <col min="16" max="16" width="7.453125" customWidth="1"/>
    <col min="17" max="17" width="12.81640625" customWidth="1"/>
    <col min="18" max="18" width="14.54296875" customWidth="1"/>
    <col min="19" max="19" width="22.7265625" customWidth="1"/>
    <col min="20" max="20" width="2.54296875" customWidth="1"/>
    <col min="21" max="21" width="9.453125" customWidth="1"/>
    <col min="22" max="22" width="11.1796875" bestFit="1" customWidth="1"/>
    <col min="23" max="23" width="13.54296875" customWidth="1"/>
    <col min="24" max="24" width="18.54296875" customWidth="1"/>
  </cols>
  <sheetData>
    <row r="1" spans="1:24" ht="24" customHeight="1" x14ac:dyDescent="0.35">
      <c r="A1" s="103" t="s">
        <v>37</v>
      </c>
      <c r="B1" s="103"/>
      <c r="C1" s="103"/>
      <c r="D1" s="103"/>
    </row>
    <row r="3" spans="1:24" ht="14.25" customHeight="1" x14ac:dyDescent="0.35">
      <c r="A3" s="102" t="s">
        <v>38</v>
      </c>
      <c r="B3" s="102"/>
      <c r="C3" s="102"/>
    </row>
    <row r="4" spans="1:24" ht="14.25" customHeight="1" x14ac:dyDescent="0.35">
      <c r="A4" s="60" t="s">
        <v>39</v>
      </c>
      <c r="B4" s="60" t="s">
        <v>40</v>
      </c>
      <c r="C4" s="60" t="s">
        <v>41</v>
      </c>
      <c r="D4" s="60" t="s">
        <v>42</v>
      </c>
      <c r="E4" s="60" t="s">
        <v>43</v>
      </c>
      <c r="F4" s="60" t="s">
        <v>44</v>
      </c>
      <c r="G4" s="60" t="s">
        <v>45</v>
      </c>
    </row>
    <row r="5" spans="1:24" ht="14.25" customHeight="1" x14ac:dyDescent="0.35">
      <c r="A5" s="13" t="s">
        <v>46</v>
      </c>
      <c r="B5" s="14">
        <v>378</v>
      </c>
      <c r="C5" s="14">
        <v>370</v>
      </c>
      <c r="D5" s="14"/>
      <c r="E5" s="14"/>
      <c r="F5" s="14"/>
      <c r="G5" s="14">
        <f>SUMPRODUCT(B5:E5)</f>
        <v>748</v>
      </c>
    </row>
    <row r="6" spans="1:24" ht="14.15" customHeight="1" x14ac:dyDescent="0.35">
      <c r="A6" s="20" t="s">
        <v>47</v>
      </c>
      <c r="B6" s="21">
        <v>59</v>
      </c>
      <c r="C6" s="21">
        <v>89</v>
      </c>
      <c r="D6" s="21"/>
      <c r="E6" s="21"/>
      <c r="F6" s="21"/>
      <c r="G6" s="14">
        <f>SUMPRODUCT(B6:E6)</f>
        <v>148</v>
      </c>
    </row>
    <row r="7" spans="1:24" ht="14.15" customHeight="1" x14ac:dyDescent="0.35">
      <c r="A7" s="20" t="s">
        <v>48</v>
      </c>
      <c r="B7" s="21">
        <v>94</v>
      </c>
      <c r="C7" s="21">
        <v>65</v>
      </c>
      <c r="D7" s="21"/>
      <c r="E7" s="21"/>
      <c r="F7" s="21"/>
      <c r="G7" s="14">
        <f>SUMPRODUCT(B7:E7)</f>
        <v>159</v>
      </c>
    </row>
    <row r="9" spans="1:24" ht="39" customHeight="1" x14ac:dyDescent="0.35">
      <c r="A9" s="61" t="s">
        <v>49</v>
      </c>
      <c r="B9" s="62">
        <f>IFERROR(B6/B5,0)</f>
        <v>0.15608465608465608</v>
      </c>
      <c r="C9" s="62">
        <f>IFERROR(G6/G5,0)</f>
        <v>0.19786096256684493</v>
      </c>
    </row>
    <row r="12" spans="1:24" ht="39.5" x14ac:dyDescent="0.35">
      <c r="A12" s="61" t="s">
        <v>50</v>
      </c>
      <c r="B12" s="62">
        <f>IFERROR(B7/B5,0)</f>
        <v>0.24867724867724866</v>
      </c>
      <c r="C12" s="62">
        <f>IFERROR(G7/G5,0)</f>
        <v>0.21256684491978609</v>
      </c>
    </row>
    <row r="16" spans="1:24" ht="14.25" customHeight="1" x14ac:dyDescent="0.35">
      <c r="A16" s="102" t="s">
        <v>51</v>
      </c>
      <c r="B16" s="102"/>
      <c r="C16" s="102"/>
      <c r="D16" s="102"/>
      <c r="F16" s="102" t="s">
        <v>52</v>
      </c>
      <c r="G16" s="102"/>
      <c r="H16" s="102"/>
      <c r="I16" s="102"/>
      <c r="K16" s="102" t="s">
        <v>53</v>
      </c>
      <c r="L16" s="102"/>
      <c r="M16" s="102"/>
      <c r="N16" s="102"/>
      <c r="P16" s="102" t="s">
        <v>54</v>
      </c>
      <c r="Q16" s="102"/>
      <c r="R16" s="102"/>
      <c r="S16" s="102"/>
      <c r="U16" s="101" t="s">
        <v>55</v>
      </c>
      <c r="V16" s="101"/>
      <c r="W16" s="101"/>
      <c r="X16" s="101"/>
    </row>
    <row r="17" spans="1:24" ht="14.25" customHeight="1" x14ac:dyDescent="0.35">
      <c r="A17" s="10" t="s">
        <v>9</v>
      </c>
      <c r="B17" s="10" t="s">
        <v>56</v>
      </c>
      <c r="C17" s="10" t="s">
        <v>57</v>
      </c>
      <c r="D17" s="10" t="s">
        <v>58</v>
      </c>
      <c r="F17" s="10" t="s">
        <v>9</v>
      </c>
      <c r="G17" s="10" t="s">
        <v>56</v>
      </c>
      <c r="H17" s="10" t="s">
        <v>57</v>
      </c>
      <c r="I17" s="10" t="s">
        <v>58</v>
      </c>
      <c r="K17" s="10" t="s">
        <v>9</v>
      </c>
      <c r="L17" s="10" t="s">
        <v>56</v>
      </c>
      <c r="M17" s="10" t="s">
        <v>57</v>
      </c>
      <c r="N17" s="10" t="s">
        <v>58</v>
      </c>
      <c r="P17" s="10" t="s">
        <v>9</v>
      </c>
      <c r="Q17" s="10" t="s">
        <v>56</v>
      </c>
      <c r="R17" s="10" t="s">
        <v>57</v>
      </c>
      <c r="S17" s="10" t="s">
        <v>58</v>
      </c>
      <c r="U17" s="10" t="s">
        <v>9</v>
      </c>
      <c r="V17" s="10" t="s">
        <v>56</v>
      </c>
      <c r="W17" s="10" t="s">
        <v>57</v>
      </c>
      <c r="X17" s="10" t="s">
        <v>58</v>
      </c>
    </row>
    <row r="18" spans="1:24" ht="14.25" customHeight="1" x14ac:dyDescent="0.35">
      <c r="A18" s="13">
        <v>30</v>
      </c>
      <c r="B18" s="88">
        <v>4861</v>
      </c>
      <c r="C18" s="88">
        <v>1889</v>
      </c>
      <c r="D18" s="88">
        <v>329</v>
      </c>
      <c r="F18" s="13">
        <v>6</v>
      </c>
      <c r="G18" s="14">
        <v>1033</v>
      </c>
      <c r="H18" s="14">
        <v>572</v>
      </c>
      <c r="I18" s="14">
        <v>13</v>
      </c>
      <c r="K18" s="13">
        <v>13</v>
      </c>
      <c r="L18" s="14"/>
      <c r="M18" s="14"/>
      <c r="N18" s="14"/>
      <c r="P18" s="13">
        <v>20</v>
      </c>
      <c r="Q18" s="14"/>
      <c r="R18" s="14"/>
      <c r="S18" s="14"/>
      <c r="U18" s="13">
        <v>27</v>
      </c>
      <c r="V18" s="14"/>
      <c r="W18" s="14"/>
      <c r="X18" s="14"/>
    </row>
    <row r="19" spans="1:24" ht="14.25" customHeight="1" x14ac:dyDescent="0.35">
      <c r="A19" s="13">
        <v>31</v>
      </c>
      <c r="B19" s="88">
        <v>5987</v>
      </c>
      <c r="C19" s="88">
        <v>2448</v>
      </c>
      <c r="D19" s="88">
        <v>236</v>
      </c>
      <c r="F19" s="13">
        <v>7</v>
      </c>
      <c r="G19" s="14">
        <v>1282</v>
      </c>
      <c r="H19" s="14">
        <v>721</v>
      </c>
      <c r="I19" s="14">
        <v>24</v>
      </c>
      <c r="K19" s="13">
        <v>14</v>
      </c>
      <c r="L19" s="14"/>
      <c r="M19" s="14"/>
      <c r="N19" s="14"/>
      <c r="P19" s="13">
        <v>21</v>
      </c>
      <c r="Q19" s="14"/>
      <c r="R19" s="14"/>
      <c r="S19" s="14"/>
      <c r="U19" s="13">
        <v>28</v>
      </c>
      <c r="V19" s="14"/>
      <c r="W19" s="14"/>
      <c r="X19" s="14"/>
    </row>
    <row r="20" spans="1:24" ht="14.25" customHeight="1" x14ac:dyDescent="0.35">
      <c r="A20" s="13">
        <v>1</v>
      </c>
      <c r="B20" s="88">
        <v>6062</v>
      </c>
      <c r="C20" s="88">
        <v>2303</v>
      </c>
      <c r="D20" s="88">
        <v>207</v>
      </c>
      <c r="F20" s="13">
        <v>8</v>
      </c>
      <c r="G20" s="14">
        <v>1495</v>
      </c>
      <c r="H20" s="14">
        <v>841</v>
      </c>
      <c r="I20" s="14">
        <v>16</v>
      </c>
      <c r="K20" s="13">
        <v>15</v>
      </c>
      <c r="L20" s="14"/>
      <c r="M20" s="14"/>
      <c r="N20" s="14"/>
      <c r="P20" s="13">
        <v>22</v>
      </c>
      <c r="Q20" s="14"/>
      <c r="R20" s="14"/>
      <c r="S20" s="14"/>
      <c r="U20" s="13">
        <v>29</v>
      </c>
      <c r="V20" s="14"/>
      <c r="W20" s="14"/>
      <c r="X20" s="14"/>
    </row>
    <row r="21" spans="1:24" ht="14.25" customHeight="1" x14ac:dyDescent="0.35">
      <c r="A21" s="13">
        <v>2</v>
      </c>
      <c r="B21" s="14">
        <v>475</v>
      </c>
      <c r="C21" s="14">
        <v>289</v>
      </c>
      <c r="D21" s="14">
        <v>6</v>
      </c>
      <c r="F21" s="13">
        <v>9</v>
      </c>
      <c r="G21" s="14">
        <v>1557</v>
      </c>
      <c r="H21" s="14">
        <v>972</v>
      </c>
      <c r="I21" s="14">
        <v>21</v>
      </c>
      <c r="K21" s="13">
        <v>16</v>
      </c>
      <c r="L21" s="14"/>
      <c r="M21" s="14"/>
      <c r="N21" s="14"/>
      <c r="P21" s="13">
        <v>23</v>
      </c>
      <c r="Q21" s="14"/>
      <c r="R21" s="14"/>
      <c r="S21" s="14"/>
      <c r="U21" s="13">
        <v>30</v>
      </c>
      <c r="V21" s="14"/>
      <c r="W21" s="14"/>
      <c r="X21" s="14"/>
    </row>
    <row r="22" spans="1:24" ht="14.25" customHeight="1" x14ac:dyDescent="0.35">
      <c r="A22" s="13">
        <v>3</v>
      </c>
      <c r="B22" s="14">
        <v>682</v>
      </c>
      <c r="C22" s="14">
        <v>420</v>
      </c>
      <c r="D22" s="14">
        <v>7</v>
      </c>
      <c r="F22" s="13">
        <v>10</v>
      </c>
      <c r="G22" s="14">
        <v>1511</v>
      </c>
      <c r="H22" s="14">
        <v>1079</v>
      </c>
      <c r="I22" s="14">
        <v>31</v>
      </c>
      <c r="K22" s="13">
        <v>17</v>
      </c>
      <c r="L22" s="14"/>
      <c r="M22" s="14"/>
      <c r="N22" s="14"/>
      <c r="P22" s="13">
        <v>24</v>
      </c>
      <c r="Q22" s="14"/>
      <c r="R22" s="14"/>
      <c r="S22" s="14"/>
      <c r="U22" s="13">
        <v>1</v>
      </c>
      <c r="V22" s="14"/>
      <c r="W22" s="14"/>
      <c r="X22" s="14"/>
    </row>
    <row r="23" spans="1:24" ht="14.25" customHeight="1" x14ac:dyDescent="0.35">
      <c r="A23" s="13">
        <v>4</v>
      </c>
      <c r="B23" s="14">
        <v>1393</v>
      </c>
      <c r="C23" s="14">
        <v>762</v>
      </c>
      <c r="D23" s="14">
        <v>24</v>
      </c>
      <c r="F23" s="13">
        <v>11</v>
      </c>
      <c r="G23" s="14">
        <v>1326</v>
      </c>
      <c r="H23" s="14">
        <v>929</v>
      </c>
      <c r="I23" s="14">
        <v>25</v>
      </c>
      <c r="K23" s="13">
        <v>18</v>
      </c>
      <c r="L23" s="14"/>
      <c r="M23" s="14"/>
      <c r="N23" s="14"/>
      <c r="P23" s="13">
        <v>25</v>
      </c>
      <c r="Q23" s="14"/>
      <c r="R23" s="14"/>
      <c r="S23" s="14"/>
      <c r="U23" s="13">
        <v>2</v>
      </c>
      <c r="V23" s="14"/>
      <c r="W23" s="14"/>
      <c r="X23" s="14"/>
    </row>
    <row r="24" spans="1:24" ht="14.25" customHeight="1" thickBot="1" x14ac:dyDescent="0.4">
      <c r="A24" s="13">
        <v>5</v>
      </c>
      <c r="B24" s="63">
        <v>1012</v>
      </c>
      <c r="C24" s="63">
        <v>554</v>
      </c>
      <c r="D24" s="63">
        <v>13</v>
      </c>
      <c r="F24" s="13">
        <v>12</v>
      </c>
      <c r="G24" s="14">
        <v>1008</v>
      </c>
      <c r="H24" s="14">
        <v>746</v>
      </c>
      <c r="I24" s="14">
        <v>31</v>
      </c>
      <c r="K24" s="13">
        <v>19</v>
      </c>
      <c r="L24" s="14"/>
      <c r="M24" s="14"/>
      <c r="N24" s="14"/>
      <c r="P24" s="13">
        <v>26</v>
      </c>
      <c r="Q24" s="14"/>
      <c r="R24" s="14"/>
      <c r="S24" s="14"/>
      <c r="U24" s="13">
        <v>3</v>
      </c>
      <c r="V24" s="14"/>
      <c r="W24" s="14"/>
      <c r="X24" s="14"/>
    </row>
    <row r="25" spans="1:24" ht="13.5" customHeight="1" thickBot="1" x14ac:dyDescent="0.4">
      <c r="B25" s="64">
        <f>SUMPRODUCT(B18:B24)</f>
        <v>20472</v>
      </c>
      <c r="C25" s="64">
        <f>SUMPRODUCT(C18:C24)</f>
        <v>8665</v>
      </c>
      <c r="D25" s="64">
        <f>SUMPRODUCT(D18:D24)</f>
        <v>822</v>
      </c>
      <c r="G25" s="64">
        <f>SUMPRODUCT(G18:G24)</f>
        <v>9212</v>
      </c>
      <c r="H25" s="64">
        <f>SUMPRODUCT(H18:H24)</f>
        <v>5860</v>
      </c>
      <c r="I25" s="64">
        <f>SUMPRODUCT(I18:I24)</f>
        <v>161</v>
      </c>
      <c r="L25" s="64">
        <f>SUMPRODUCT(L18:L24)</f>
        <v>0</v>
      </c>
      <c r="M25" s="64">
        <f>SUMPRODUCT(M18:M24)</f>
        <v>0</v>
      </c>
      <c r="N25" s="64">
        <f>SUMPRODUCT(N18:N24)</f>
        <v>0</v>
      </c>
      <c r="Q25" s="64">
        <f>SUMPRODUCT(Q18:Q24)</f>
        <v>0</v>
      </c>
      <c r="R25" s="64">
        <f>SUMPRODUCT(R18:R24)</f>
        <v>0</v>
      </c>
      <c r="S25" s="64">
        <f>SUMPRODUCT(S18:S24)</f>
        <v>0</v>
      </c>
      <c r="V25" s="64">
        <f>SUMPRODUCT(V18:V24)</f>
        <v>0</v>
      </c>
      <c r="W25" s="64">
        <f>SUMPRODUCT(W18:W24)</f>
        <v>0</v>
      </c>
      <c r="X25" s="64">
        <f>SUMPRODUCT(X18:X24)</f>
        <v>0</v>
      </c>
    </row>
    <row r="26" spans="1:24" ht="14.25" customHeight="1" x14ac:dyDescent="0.35"/>
    <row r="27" spans="1:24" ht="14.25" customHeight="1" x14ac:dyDescent="0.35">
      <c r="A27" s="102" t="s">
        <v>59</v>
      </c>
      <c r="B27" s="102"/>
      <c r="C27" s="102"/>
      <c r="D27" s="102"/>
      <c r="F27" s="102" t="s">
        <v>60</v>
      </c>
      <c r="G27" s="102"/>
      <c r="H27" s="102"/>
      <c r="I27" s="102"/>
      <c r="K27" s="102" t="s">
        <v>61</v>
      </c>
      <c r="L27" s="102"/>
      <c r="M27" s="102"/>
      <c r="N27" s="102"/>
      <c r="P27" s="102" t="s">
        <v>62</v>
      </c>
      <c r="Q27" s="102"/>
      <c r="R27" s="102"/>
      <c r="S27" s="102"/>
      <c r="U27" s="101" t="s">
        <v>63</v>
      </c>
      <c r="V27" s="101"/>
      <c r="W27" s="101"/>
      <c r="X27" s="101"/>
    </row>
    <row r="28" spans="1:24" ht="14.25" customHeight="1" x14ac:dyDescent="0.35">
      <c r="A28" s="10" t="s">
        <v>9</v>
      </c>
      <c r="B28" s="10" t="s">
        <v>56</v>
      </c>
      <c r="C28" s="10" t="s">
        <v>57</v>
      </c>
      <c r="D28" s="10" t="s">
        <v>58</v>
      </c>
      <c r="F28" s="10" t="s">
        <v>9</v>
      </c>
      <c r="G28" s="10" t="s">
        <v>56</v>
      </c>
      <c r="H28" s="10" t="s">
        <v>57</v>
      </c>
      <c r="I28" s="10" t="s">
        <v>58</v>
      </c>
      <c r="K28" s="10" t="s">
        <v>9</v>
      </c>
      <c r="L28" s="10" t="s">
        <v>56</v>
      </c>
      <c r="M28" s="10" t="s">
        <v>57</v>
      </c>
      <c r="N28" s="10" t="s">
        <v>58</v>
      </c>
      <c r="P28" s="10" t="s">
        <v>9</v>
      </c>
      <c r="Q28" s="10" t="s">
        <v>56</v>
      </c>
      <c r="R28" s="10" t="s">
        <v>57</v>
      </c>
      <c r="S28" s="10" t="s">
        <v>58</v>
      </c>
      <c r="U28" s="10" t="s">
        <v>9</v>
      </c>
      <c r="V28" s="10" t="s">
        <v>56</v>
      </c>
      <c r="W28" s="10" t="s">
        <v>57</v>
      </c>
      <c r="X28" s="10" t="s">
        <v>58</v>
      </c>
    </row>
    <row r="29" spans="1:24" ht="14.25" customHeight="1" x14ac:dyDescent="0.35">
      <c r="A29" s="13">
        <v>30</v>
      </c>
      <c r="B29" s="14">
        <v>1407</v>
      </c>
      <c r="C29" s="14">
        <v>1159</v>
      </c>
      <c r="D29" s="14">
        <v>393</v>
      </c>
      <c r="F29" s="13">
        <v>6</v>
      </c>
      <c r="G29" s="14">
        <v>955</v>
      </c>
      <c r="H29" s="14">
        <v>744</v>
      </c>
      <c r="I29" s="14">
        <v>181</v>
      </c>
      <c r="K29" s="13">
        <v>13</v>
      </c>
      <c r="L29" s="14"/>
      <c r="M29" s="14"/>
      <c r="N29" s="14"/>
      <c r="P29" s="13">
        <v>20</v>
      </c>
      <c r="Q29" s="14"/>
      <c r="R29" s="14"/>
      <c r="S29" s="14"/>
      <c r="U29" s="13">
        <v>27</v>
      </c>
      <c r="V29" s="14"/>
      <c r="W29" s="14"/>
      <c r="X29" s="14"/>
    </row>
    <row r="30" spans="1:24" ht="14.25" customHeight="1" x14ac:dyDescent="0.35">
      <c r="A30" s="13">
        <v>31</v>
      </c>
      <c r="B30" s="14">
        <v>2155</v>
      </c>
      <c r="C30" s="14">
        <v>1854</v>
      </c>
      <c r="D30" s="14">
        <v>544</v>
      </c>
      <c r="F30" s="13">
        <v>7</v>
      </c>
      <c r="G30" s="14">
        <v>1023</v>
      </c>
      <c r="H30" s="14">
        <v>785</v>
      </c>
      <c r="I30" s="14">
        <v>152</v>
      </c>
      <c r="K30" s="13">
        <v>14</v>
      </c>
      <c r="L30" s="14"/>
      <c r="M30" s="14"/>
      <c r="N30" s="14"/>
      <c r="P30" s="13">
        <v>21</v>
      </c>
      <c r="Q30" s="14"/>
      <c r="R30" s="14"/>
      <c r="S30" s="14"/>
      <c r="U30" s="13">
        <v>28</v>
      </c>
      <c r="V30" s="14"/>
      <c r="W30" s="14"/>
      <c r="X30" s="14"/>
    </row>
    <row r="31" spans="1:24" ht="14.25" customHeight="1" x14ac:dyDescent="0.35">
      <c r="A31" s="13">
        <v>1</v>
      </c>
      <c r="B31" s="14">
        <v>2157</v>
      </c>
      <c r="C31" s="14">
        <v>1839</v>
      </c>
      <c r="D31" s="14">
        <v>500</v>
      </c>
      <c r="F31" s="13">
        <v>8</v>
      </c>
      <c r="G31" s="14">
        <v>1311</v>
      </c>
      <c r="H31" s="14">
        <v>1014</v>
      </c>
      <c r="I31" s="14">
        <v>109</v>
      </c>
      <c r="K31" s="13">
        <v>15</v>
      </c>
      <c r="L31" s="14"/>
      <c r="M31" s="14"/>
      <c r="N31" s="14"/>
      <c r="P31" s="13">
        <v>22</v>
      </c>
      <c r="Q31" s="14"/>
      <c r="R31" s="14"/>
      <c r="S31" s="14"/>
      <c r="U31" s="13">
        <v>29</v>
      </c>
      <c r="V31" s="14"/>
      <c r="W31" s="14"/>
      <c r="X31" s="14"/>
    </row>
    <row r="32" spans="1:24" ht="14.25" customHeight="1" x14ac:dyDescent="0.35">
      <c r="A32" s="13">
        <v>2</v>
      </c>
      <c r="B32" s="14">
        <v>2143</v>
      </c>
      <c r="C32" s="14">
        <v>1763</v>
      </c>
      <c r="D32" s="14">
        <v>487</v>
      </c>
      <c r="F32" s="13">
        <v>9</v>
      </c>
      <c r="G32" s="14">
        <v>1309</v>
      </c>
      <c r="H32" s="14">
        <v>1006</v>
      </c>
      <c r="I32" s="14">
        <v>91</v>
      </c>
      <c r="K32" s="13">
        <v>16</v>
      </c>
      <c r="L32" s="14"/>
      <c r="M32" s="14"/>
      <c r="N32" s="14"/>
      <c r="P32" s="13">
        <v>23</v>
      </c>
      <c r="Q32" s="14"/>
      <c r="R32" s="14"/>
      <c r="S32" s="14"/>
      <c r="U32" s="13">
        <v>30</v>
      </c>
      <c r="V32" s="14"/>
      <c r="W32" s="14"/>
      <c r="X32" s="14"/>
    </row>
    <row r="33" spans="1:24" ht="14.25" customHeight="1" x14ac:dyDescent="0.35">
      <c r="A33" s="13">
        <v>3</v>
      </c>
      <c r="B33" s="14">
        <v>1447</v>
      </c>
      <c r="C33" s="14">
        <v>1197</v>
      </c>
      <c r="D33" s="14">
        <v>229</v>
      </c>
      <c r="F33" s="13">
        <v>10</v>
      </c>
      <c r="G33" s="14">
        <v>1289</v>
      </c>
      <c r="H33" s="14">
        <v>1057</v>
      </c>
      <c r="I33" s="14">
        <v>54</v>
      </c>
      <c r="K33" s="13">
        <v>17</v>
      </c>
      <c r="L33" s="14"/>
      <c r="M33" s="14"/>
      <c r="N33" s="14"/>
      <c r="P33" s="13">
        <v>24</v>
      </c>
      <c r="Q33" s="14"/>
      <c r="R33" s="14"/>
      <c r="S33" s="14"/>
      <c r="U33" s="13">
        <v>1</v>
      </c>
      <c r="V33" s="14"/>
      <c r="W33" s="14"/>
      <c r="X33" s="14"/>
    </row>
    <row r="34" spans="1:24" ht="14.25" customHeight="1" x14ac:dyDescent="0.35">
      <c r="A34" s="13">
        <v>4</v>
      </c>
      <c r="B34" s="14">
        <v>1413</v>
      </c>
      <c r="C34" s="14">
        <v>1053</v>
      </c>
      <c r="D34" s="14">
        <v>132</v>
      </c>
      <c r="F34" s="13">
        <v>11</v>
      </c>
      <c r="G34" s="14">
        <v>1135</v>
      </c>
      <c r="H34" s="14">
        <v>924</v>
      </c>
      <c r="I34" s="14">
        <v>87</v>
      </c>
      <c r="K34" s="13">
        <v>18</v>
      </c>
      <c r="L34" s="14"/>
      <c r="M34" s="14"/>
      <c r="N34" s="14"/>
      <c r="P34" s="13">
        <v>25</v>
      </c>
      <c r="Q34" s="14"/>
      <c r="R34" s="14"/>
      <c r="S34" s="14"/>
      <c r="U34" s="13">
        <v>2</v>
      </c>
      <c r="V34" s="14"/>
      <c r="W34" s="14"/>
      <c r="X34" s="14"/>
    </row>
    <row r="35" spans="1:24" ht="14.25" customHeight="1" thickBot="1" x14ac:dyDescent="0.4">
      <c r="A35" s="13">
        <v>5</v>
      </c>
      <c r="B35" s="63">
        <v>1017</v>
      </c>
      <c r="C35" s="63">
        <v>801</v>
      </c>
      <c r="D35" s="63">
        <v>173</v>
      </c>
      <c r="F35" s="13">
        <v>12</v>
      </c>
      <c r="G35" s="14">
        <v>758</v>
      </c>
      <c r="H35" s="14">
        <v>611</v>
      </c>
      <c r="I35" s="14">
        <v>81</v>
      </c>
      <c r="K35" s="13">
        <v>19</v>
      </c>
      <c r="L35" s="14"/>
      <c r="M35" s="14"/>
      <c r="N35" s="14"/>
      <c r="P35" s="13">
        <v>26</v>
      </c>
      <c r="Q35" s="14"/>
      <c r="R35" s="14"/>
      <c r="S35" s="14"/>
      <c r="U35" s="13">
        <v>3</v>
      </c>
      <c r="V35" s="14"/>
      <c r="W35" s="14"/>
      <c r="X35" s="14"/>
    </row>
    <row r="36" spans="1:24" ht="14.25" customHeight="1" thickBot="1" x14ac:dyDescent="0.4">
      <c r="B36" s="64">
        <f>SUMPRODUCT(B29:B35)</f>
        <v>11739</v>
      </c>
      <c r="C36" s="64">
        <f>SUMPRODUCT(C29:C35)</f>
        <v>9666</v>
      </c>
      <c r="D36" s="64">
        <f>SUMPRODUCT(D29:D35)</f>
        <v>2458</v>
      </c>
      <c r="G36" s="64">
        <f>SUMPRODUCT(G29:G35)</f>
        <v>7780</v>
      </c>
      <c r="H36" s="64">
        <f>SUMPRODUCT(H29:H35)</f>
        <v>6141</v>
      </c>
      <c r="I36" s="64">
        <f>SUMPRODUCT(I29:I35)</f>
        <v>755</v>
      </c>
      <c r="L36" s="64">
        <f>SUMPRODUCT(L29:L35)</f>
        <v>0</v>
      </c>
      <c r="M36" s="64">
        <f>SUMPRODUCT(M29:M35)</f>
        <v>0</v>
      </c>
      <c r="N36" s="64">
        <f>SUMPRODUCT(N29:N35)</f>
        <v>0</v>
      </c>
      <c r="Q36" s="64">
        <f>SUMPRODUCT(Q29:Q35)</f>
        <v>0</v>
      </c>
      <c r="R36" s="64">
        <f>SUMPRODUCT(R29:R35)</f>
        <v>0</v>
      </c>
      <c r="S36" s="64">
        <f>SUMPRODUCT(S29:S35)</f>
        <v>0</v>
      </c>
      <c r="V36" s="64">
        <f>SUMPRODUCT(V29:V35)</f>
        <v>0</v>
      </c>
      <c r="W36" s="64">
        <f>SUMPRODUCT(W29:W35)</f>
        <v>0</v>
      </c>
      <c r="X36" s="64">
        <f>SUMPRODUCT(X29:X35)</f>
        <v>0</v>
      </c>
    </row>
    <row r="68" spans="28:28" x14ac:dyDescent="0.35">
      <c r="AB68" t="s">
        <v>64</v>
      </c>
    </row>
  </sheetData>
  <mergeCells count="12">
    <mergeCell ref="A1:D1"/>
    <mergeCell ref="A3:C3"/>
    <mergeCell ref="A16:D16"/>
    <mergeCell ref="F16:I16"/>
    <mergeCell ref="K16:N16"/>
    <mergeCell ref="U16:X16"/>
    <mergeCell ref="U27:X27"/>
    <mergeCell ref="P16:S16"/>
    <mergeCell ref="A27:D27"/>
    <mergeCell ref="F27:I27"/>
    <mergeCell ref="K27:N27"/>
    <mergeCell ref="P27:S27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0"/>
  <sheetViews>
    <sheetView showGridLines="0" topLeftCell="A57" zoomScale="90" zoomScaleNormal="90" workbookViewId="0">
      <selection activeCell="R65" sqref="R65:U65"/>
    </sheetView>
  </sheetViews>
  <sheetFormatPr defaultColWidth="8.54296875" defaultRowHeight="14.5" x14ac:dyDescent="0.35"/>
  <cols>
    <col min="1" max="1" width="10.7265625" customWidth="1"/>
    <col min="2" max="2" width="8.26953125" customWidth="1"/>
    <col min="3" max="3" width="12.81640625" bestFit="1" customWidth="1"/>
    <col min="4" max="4" width="9" customWidth="1"/>
    <col min="5" max="5" width="18.1796875" customWidth="1"/>
    <col min="6" max="6" width="11" customWidth="1"/>
    <col min="7" max="7" width="10" customWidth="1"/>
    <col min="8" max="8" width="14.1796875" bestFit="1" customWidth="1"/>
    <col min="9" max="9" width="11" customWidth="1"/>
    <col min="10" max="10" width="5.81640625" customWidth="1"/>
    <col min="12" max="12" width="10.7265625" customWidth="1"/>
    <col min="13" max="13" width="12.81640625" customWidth="1"/>
    <col min="14" max="14" width="11.453125" customWidth="1"/>
    <col min="15" max="16" width="3.81640625" customWidth="1"/>
    <col min="17" max="17" width="5.1796875" customWidth="1"/>
    <col min="18" max="18" width="10.54296875" customWidth="1"/>
    <col min="20" max="20" width="13.1796875" customWidth="1"/>
    <col min="21" max="21" width="11.453125" customWidth="1"/>
  </cols>
  <sheetData>
    <row r="1" spans="1:21" ht="24" customHeight="1" x14ac:dyDescent="0.35">
      <c r="A1" s="103" t="s">
        <v>65</v>
      </c>
      <c r="B1" s="103"/>
      <c r="C1" s="103"/>
      <c r="D1" s="103"/>
      <c r="E1" s="103"/>
    </row>
    <row r="2" spans="1:21" x14ac:dyDescent="0.35">
      <c r="E2" s="96" t="s">
        <v>66</v>
      </c>
      <c r="F2" s="96"/>
      <c r="G2" s="96"/>
      <c r="H2" s="96"/>
      <c r="I2" s="96"/>
    </row>
    <row r="3" spans="1:21" x14ac:dyDescent="0.35">
      <c r="A3" s="105" t="s">
        <v>67</v>
      </c>
      <c r="B3" s="105"/>
      <c r="C3" s="105"/>
      <c r="E3" s="2" t="s">
        <v>68</v>
      </c>
      <c r="F3" s="2"/>
      <c r="G3" s="2"/>
      <c r="H3" s="2"/>
      <c r="K3" s="101" t="s">
        <v>69</v>
      </c>
      <c r="L3" s="101"/>
      <c r="M3" s="101"/>
      <c r="N3" s="101"/>
    </row>
    <row r="4" spans="1:21" ht="15.75" customHeight="1" x14ac:dyDescent="0.35">
      <c r="A4" s="10" t="s">
        <v>70</v>
      </c>
      <c r="B4" s="10" t="s">
        <v>71</v>
      </c>
      <c r="C4" s="10" t="s">
        <v>72</v>
      </c>
      <c r="E4" s="36" t="s">
        <v>73</v>
      </c>
      <c r="F4" s="36" t="s">
        <v>9</v>
      </c>
      <c r="G4" s="36" t="s">
        <v>70</v>
      </c>
      <c r="H4" s="36" t="s">
        <v>74</v>
      </c>
      <c r="K4" s="10" t="s">
        <v>75</v>
      </c>
      <c r="L4" s="10" t="s">
        <v>76</v>
      </c>
      <c r="M4" s="10" t="s">
        <v>57</v>
      </c>
      <c r="N4" s="10" t="s">
        <v>58</v>
      </c>
    </row>
    <row r="5" spans="1:21" ht="14.25" customHeight="1" x14ac:dyDescent="0.35">
      <c r="A5" s="20" t="s">
        <v>77</v>
      </c>
      <c r="B5" s="37">
        <f>COUNTIF($G$4:$G$14,A5)</f>
        <v>1</v>
      </c>
      <c r="C5" s="38">
        <f>H6</f>
        <v>0.72289999999999999</v>
      </c>
      <c r="E5" s="39">
        <v>10392</v>
      </c>
      <c r="F5" s="40">
        <v>46265</v>
      </c>
      <c r="G5" s="41" t="s">
        <v>78</v>
      </c>
      <c r="H5" s="42">
        <v>0.81330000000000002</v>
      </c>
      <c r="K5" s="39">
        <v>10392</v>
      </c>
      <c r="L5" s="14">
        <v>61762</v>
      </c>
      <c r="M5" s="14">
        <v>10985</v>
      </c>
      <c r="N5" s="14">
        <v>389</v>
      </c>
    </row>
    <row r="6" spans="1:21" ht="14.25" customHeight="1" x14ac:dyDescent="0.35">
      <c r="A6" s="20" t="s">
        <v>79</v>
      </c>
      <c r="B6" s="37">
        <f>COUNTIF($G$4:$G$14,A6)</f>
        <v>1</v>
      </c>
      <c r="C6" s="38">
        <f>H14</f>
        <v>0.62619999999999998</v>
      </c>
      <c r="E6" s="39">
        <v>10394</v>
      </c>
      <c r="F6" s="40">
        <v>46266</v>
      </c>
      <c r="G6" s="41" t="s">
        <v>77</v>
      </c>
      <c r="H6" s="42">
        <v>0.72289999999999999</v>
      </c>
      <c r="K6" s="39">
        <v>10394</v>
      </c>
      <c r="L6" s="21">
        <v>80326</v>
      </c>
      <c r="M6" s="21">
        <v>15039</v>
      </c>
      <c r="N6" s="21">
        <v>387</v>
      </c>
    </row>
    <row r="7" spans="1:21" ht="14.25" customHeight="1" x14ac:dyDescent="0.35">
      <c r="A7" s="20" t="s">
        <v>80</v>
      </c>
      <c r="B7" s="37">
        <f t="shared" ref="B7:B9" si="0">COUNTIF($G$4:$G$14,A7)</f>
        <v>2</v>
      </c>
      <c r="C7" s="38">
        <f>AVERAGE(H11+H13)</f>
        <v>1.135</v>
      </c>
      <c r="E7" s="39">
        <v>10395</v>
      </c>
      <c r="F7" s="40">
        <v>46266</v>
      </c>
      <c r="G7" s="41" t="s">
        <v>81</v>
      </c>
      <c r="H7" s="42">
        <v>0.61070000000000002</v>
      </c>
      <c r="K7" s="39">
        <v>10395</v>
      </c>
      <c r="L7" s="21">
        <v>101088</v>
      </c>
      <c r="M7" s="21">
        <v>14809</v>
      </c>
      <c r="N7" s="21">
        <v>384</v>
      </c>
    </row>
    <row r="8" spans="1:21" ht="14.25" customHeight="1" x14ac:dyDescent="0.35">
      <c r="A8" s="20" t="s">
        <v>78</v>
      </c>
      <c r="B8" s="37">
        <f t="shared" si="0"/>
        <v>4</v>
      </c>
      <c r="C8" s="38">
        <f>AVERAGE(H5+H9+H10+H12)</f>
        <v>2.5406</v>
      </c>
      <c r="E8" s="39">
        <v>10396</v>
      </c>
      <c r="F8" s="40">
        <v>46266</v>
      </c>
      <c r="G8" s="41" t="s">
        <v>81</v>
      </c>
      <c r="H8" s="42">
        <v>0.64349999999999996</v>
      </c>
      <c r="K8" s="39">
        <v>10396</v>
      </c>
      <c r="L8" s="21">
        <v>103527</v>
      </c>
      <c r="M8" s="21">
        <v>12863</v>
      </c>
      <c r="N8" s="21">
        <v>331</v>
      </c>
      <c r="R8" s="101" t="s">
        <v>35</v>
      </c>
      <c r="S8" s="101"/>
      <c r="T8" s="101"/>
      <c r="U8" s="101"/>
    </row>
    <row r="9" spans="1:21" ht="14.25" customHeight="1" x14ac:dyDescent="0.35">
      <c r="A9" s="20" t="s">
        <v>81</v>
      </c>
      <c r="B9" s="37">
        <f t="shared" si="0"/>
        <v>2</v>
      </c>
      <c r="C9" s="38">
        <f>AVERAGE(H7+H8)</f>
        <v>1.2542</v>
      </c>
      <c r="E9" s="39">
        <v>10397</v>
      </c>
      <c r="F9" s="40">
        <v>46267</v>
      </c>
      <c r="G9" s="41" t="s">
        <v>78</v>
      </c>
      <c r="H9" s="42">
        <v>0.58650000000000002</v>
      </c>
      <c r="K9" s="39">
        <v>10397</v>
      </c>
      <c r="L9" s="21">
        <v>67488</v>
      </c>
      <c r="M9" s="21">
        <v>12371</v>
      </c>
      <c r="N9" s="21">
        <v>312</v>
      </c>
      <c r="R9" s="108" t="s">
        <v>82</v>
      </c>
      <c r="S9" s="108"/>
      <c r="T9" s="108"/>
      <c r="U9" s="108"/>
    </row>
    <row r="10" spans="1:21" ht="14.25" customHeight="1" x14ac:dyDescent="0.35">
      <c r="A10" s="22" t="s">
        <v>36</v>
      </c>
      <c r="B10" s="23">
        <f>SUM(B5:B9)</f>
        <v>10</v>
      </c>
      <c r="C10" s="44">
        <f>AVERAGE(C5:C9)</f>
        <v>1.2557799999999999</v>
      </c>
      <c r="E10" s="39">
        <v>10398</v>
      </c>
      <c r="F10" s="40">
        <v>46267</v>
      </c>
      <c r="G10" s="41" t="s">
        <v>78</v>
      </c>
      <c r="H10" s="42">
        <v>0.65059999999999996</v>
      </c>
      <c r="K10" s="39">
        <v>10398</v>
      </c>
      <c r="L10" s="21">
        <v>54833</v>
      </c>
      <c r="M10" s="21">
        <v>9962</v>
      </c>
      <c r="N10" s="21">
        <v>292</v>
      </c>
      <c r="R10" s="10" t="s">
        <v>83</v>
      </c>
      <c r="S10" s="10" t="s">
        <v>76</v>
      </c>
      <c r="T10" s="10" t="s">
        <v>57</v>
      </c>
      <c r="U10" s="10" t="s">
        <v>58</v>
      </c>
    </row>
    <row r="11" spans="1:21" ht="14.25" customHeight="1" x14ac:dyDescent="0.35">
      <c r="E11" s="45">
        <v>10404</v>
      </c>
      <c r="F11" s="46">
        <v>46268</v>
      </c>
      <c r="G11" s="28" t="s">
        <v>80</v>
      </c>
      <c r="H11" s="47">
        <v>0.71430000000000005</v>
      </c>
      <c r="K11" s="45">
        <v>10404</v>
      </c>
      <c r="L11" s="21">
        <v>49231</v>
      </c>
      <c r="M11" s="21">
        <v>9993</v>
      </c>
      <c r="N11" s="21">
        <v>412</v>
      </c>
      <c r="R11" t="s">
        <v>77</v>
      </c>
      <c r="S11" s="48">
        <f>L22-L6</f>
        <v>9672</v>
      </c>
      <c r="T11" s="48">
        <f>M21-M5</f>
        <v>-10985</v>
      </c>
      <c r="U11" s="48">
        <f>N21-N5</f>
        <v>-389</v>
      </c>
    </row>
    <row r="12" spans="1:21" ht="14.25" customHeight="1" x14ac:dyDescent="0.35">
      <c r="E12" s="89">
        <v>10183</v>
      </c>
      <c r="F12" s="90">
        <v>46268</v>
      </c>
      <c r="G12" s="91" t="s">
        <v>78</v>
      </c>
      <c r="H12" s="92">
        <v>0.49020000000000002</v>
      </c>
      <c r="I12" t="s">
        <v>84</v>
      </c>
      <c r="K12" s="89">
        <v>10183</v>
      </c>
      <c r="L12" s="94">
        <v>17306</v>
      </c>
      <c r="M12" s="94">
        <v>5495</v>
      </c>
      <c r="N12" s="89">
        <v>100</v>
      </c>
      <c r="R12" t="s">
        <v>81</v>
      </c>
      <c r="S12" s="48">
        <f>L23-L7</f>
        <v>-28845</v>
      </c>
      <c r="T12" s="48">
        <f t="shared" ref="T12:U12" si="1">M23-M7</f>
        <v>-6040</v>
      </c>
      <c r="U12" s="48">
        <f t="shared" si="1"/>
        <v>-211</v>
      </c>
    </row>
    <row r="13" spans="1:21" ht="14.25" customHeight="1" x14ac:dyDescent="0.35">
      <c r="E13" s="89">
        <v>10409</v>
      </c>
      <c r="F13" s="90">
        <v>46269</v>
      </c>
      <c r="G13" s="91" t="s">
        <v>80</v>
      </c>
      <c r="H13" s="92">
        <v>0.42070000000000002</v>
      </c>
      <c r="I13" s="5" t="s">
        <v>84</v>
      </c>
      <c r="J13" s="5"/>
      <c r="K13" s="89">
        <v>10409</v>
      </c>
      <c r="L13" s="94">
        <v>55269</v>
      </c>
      <c r="M13" s="94">
        <v>8273</v>
      </c>
      <c r="N13" s="89">
        <v>252</v>
      </c>
      <c r="R13" t="s">
        <v>81</v>
      </c>
      <c r="S13" s="48">
        <f>L24-L8</f>
        <v>-40757</v>
      </c>
      <c r="T13" s="48">
        <f t="shared" ref="T13:U13" si="2">M24-M8</f>
        <v>-5986</v>
      </c>
      <c r="U13" s="48">
        <f t="shared" si="2"/>
        <v>-258</v>
      </c>
    </row>
    <row r="14" spans="1:21" ht="14.25" customHeight="1" x14ac:dyDescent="0.35">
      <c r="E14" s="39">
        <v>10408</v>
      </c>
      <c r="F14" s="40">
        <v>46269</v>
      </c>
      <c r="G14" s="93" t="s">
        <v>79</v>
      </c>
      <c r="H14" s="42">
        <v>0.62619999999999998</v>
      </c>
      <c r="K14" s="39">
        <v>10408</v>
      </c>
      <c r="L14" s="21">
        <v>77864</v>
      </c>
      <c r="M14" s="21">
        <v>9553</v>
      </c>
      <c r="N14" s="21">
        <v>216</v>
      </c>
      <c r="R14" t="s">
        <v>80</v>
      </c>
      <c r="S14" s="48">
        <f>L27-L11</f>
        <v>-1251</v>
      </c>
      <c r="T14" s="48">
        <f t="shared" ref="T14:U14" si="3">M27-M11</f>
        <v>-3183</v>
      </c>
      <c r="U14" s="48">
        <f t="shared" si="3"/>
        <v>-171</v>
      </c>
    </row>
    <row r="15" spans="1:21" x14ac:dyDescent="0.35">
      <c r="K15" s="49" t="s">
        <v>36</v>
      </c>
      <c r="L15" s="50">
        <f>SUM(L5:L14)</f>
        <v>668694</v>
      </c>
      <c r="M15" s="50">
        <f>SUM(M5:M14)</f>
        <v>109343</v>
      </c>
      <c r="N15" s="50">
        <f>SUM(N5:N14)</f>
        <v>3075</v>
      </c>
      <c r="R15" t="s">
        <v>80</v>
      </c>
      <c r="S15" s="48">
        <f>L28-L13</f>
        <v>-14318</v>
      </c>
      <c r="T15" s="48">
        <f t="shared" ref="T15:U15" si="4">M28-M13</f>
        <v>-1550</v>
      </c>
      <c r="U15" s="48">
        <f t="shared" si="4"/>
        <v>-139</v>
      </c>
    </row>
    <row r="16" spans="1:21" x14ac:dyDescent="0.35">
      <c r="R16" t="s">
        <v>79</v>
      </c>
      <c r="S16" s="48">
        <f>L29-L14</f>
        <v>410</v>
      </c>
      <c r="T16" s="48">
        <f t="shared" ref="T16:U16" si="5">M29-M14</f>
        <v>-451</v>
      </c>
      <c r="U16" s="48">
        <f t="shared" si="5"/>
        <v>-79</v>
      </c>
    </row>
    <row r="17" spans="1:21" x14ac:dyDescent="0.35">
      <c r="R17" t="s">
        <v>78</v>
      </c>
      <c r="S17" s="48">
        <f>L21-L5</f>
        <v>-61762</v>
      </c>
      <c r="T17" s="48">
        <f t="shared" ref="T17:U17" si="6">M21-M5</f>
        <v>-10985</v>
      </c>
      <c r="U17" s="48">
        <f t="shared" si="6"/>
        <v>-389</v>
      </c>
    </row>
    <row r="18" spans="1:21" x14ac:dyDescent="0.35">
      <c r="E18" s="96" t="s">
        <v>85</v>
      </c>
      <c r="F18" s="96"/>
      <c r="G18" s="96"/>
      <c r="H18" s="96"/>
      <c r="R18" t="s">
        <v>78</v>
      </c>
      <c r="S18" s="48">
        <f>L25-L9</f>
        <v>7185</v>
      </c>
      <c r="T18" s="48">
        <f t="shared" ref="T18:U18" si="7">M25-M9</f>
        <v>-3693</v>
      </c>
      <c r="U18" s="48">
        <f t="shared" si="7"/>
        <v>-114</v>
      </c>
    </row>
    <row r="19" spans="1:21" x14ac:dyDescent="0.35">
      <c r="A19" s="105" t="s">
        <v>67</v>
      </c>
      <c r="B19" s="105"/>
      <c r="C19" s="105"/>
      <c r="D19" s="51"/>
      <c r="E19" s="2" t="s">
        <v>68</v>
      </c>
      <c r="F19" s="2"/>
      <c r="G19" s="2"/>
      <c r="H19" s="2"/>
      <c r="K19" s="52" t="s">
        <v>69</v>
      </c>
      <c r="L19" s="52"/>
      <c r="M19" s="52"/>
      <c r="N19" s="52"/>
      <c r="R19" s="79" t="s">
        <v>78</v>
      </c>
      <c r="S19" s="80">
        <f>L26-L10</f>
        <v>-2567</v>
      </c>
      <c r="T19" s="80">
        <f t="shared" ref="T19:U19" si="8">M26-M10</f>
        <v>-2858</v>
      </c>
      <c r="U19" s="80">
        <f t="shared" si="8"/>
        <v>-202</v>
      </c>
    </row>
    <row r="20" spans="1:21" ht="14.25" customHeight="1" x14ac:dyDescent="0.35">
      <c r="A20" s="10" t="s">
        <v>70</v>
      </c>
      <c r="B20" s="10" t="s">
        <v>71</v>
      </c>
      <c r="C20" s="10" t="s">
        <v>72</v>
      </c>
      <c r="E20" s="36" t="s">
        <v>73</v>
      </c>
      <c r="F20" s="36" t="s">
        <v>9</v>
      </c>
      <c r="G20" s="36" t="s">
        <v>70</v>
      </c>
      <c r="H20" s="36" t="s">
        <v>74</v>
      </c>
      <c r="J20" s="53"/>
      <c r="K20" s="10" t="s">
        <v>75</v>
      </c>
      <c r="L20" s="10" t="s">
        <v>76</v>
      </c>
      <c r="M20" s="10" t="s">
        <v>57</v>
      </c>
      <c r="N20" s="10" t="s">
        <v>58</v>
      </c>
      <c r="R20" s="79"/>
      <c r="S20" s="80"/>
      <c r="T20" s="80"/>
      <c r="U20" s="80"/>
    </row>
    <row r="21" spans="1:21" ht="14.25" customHeight="1" x14ac:dyDescent="0.35">
      <c r="A21" s="20" t="s">
        <v>77</v>
      </c>
      <c r="B21" s="37">
        <f>COUNTIF($G$21:$G$29,A21)</f>
        <v>1</v>
      </c>
      <c r="C21" s="38">
        <f>H22</f>
        <v>0.70589999999999997</v>
      </c>
      <c r="E21" s="39"/>
      <c r="F21" s="40"/>
      <c r="G21" s="41"/>
      <c r="H21" s="42"/>
      <c r="I21" s="53"/>
      <c r="J21" s="53"/>
      <c r="K21" s="43"/>
      <c r="L21" s="14"/>
      <c r="M21" s="14"/>
      <c r="N21" s="14"/>
    </row>
    <row r="22" spans="1:21" ht="14.25" customHeight="1" x14ac:dyDescent="0.35">
      <c r="A22" s="20" t="s">
        <v>79</v>
      </c>
      <c r="B22" s="37">
        <f>COUNTIF($G$21:$G$29,A22)</f>
        <v>1</v>
      </c>
      <c r="C22" s="38">
        <f>H29</f>
        <v>0.60140000000000005</v>
      </c>
      <c r="E22" s="39">
        <v>10411</v>
      </c>
      <c r="F22" s="40">
        <v>46273</v>
      </c>
      <c r="G22" s="41" t="s">
        <v>77</v>
      </c>
      <c r="H22" s="42">
        <v>0.70589999999999997</v>
      </c>
      <c r="I22" s="53"/>
      <c r="K22" s="39">
        <v>10411</v>
      </c>
      <c r="L22" s="21">
        <v>89998</v>
      </c>
      <c r="M22" s="21">
        <v>12257</v>
      </c>
      <c r="N22" s="21">
        <v>316</v>
      </c>
    </row>
    <row r="23" spans="1:21" ht="14.25" customHeight="1" x14ac:dyDescent="0.35">
      <c r="A23" s="20" t="s">
        <v>80</v>
      </c>
      <c r="B23" s="37">
        <f>COUNTIF($G$21:$G$29,A23)</f>
        <v>2</v>
      </c>
      <c r="C23" s="38">
        <f>H27</f>
        <v>0.64770000000000005</v>
      </c>
      <c r="E23" s="39">
        <v>10412</v>
      </c>
      <c r="F23" s="40">
        <v>46273</v>
      </c>
      <c r="G23" s="41" t="s">
        <v>81</v>
      </c>
      <c r="H23" s="42">
        <v>0.52659999999999996</v>
      </c>
      <c r="K23" s="39">
        <v>10412</v>
      </c>
      <c r="L23" s="21">
        <v>72243</v>
      </c>
      <c r="M23" s="21">
        <v>8769</v>
      </c>
      <c r="N23" s="21">
        <v>173</v>
      </c>
    </row>
    <row r="24" spans="1:21" x14ac:dyDescent="0.35">
      <c r="A24" s="20" t="s">
        <v>78</v>
      </c>
      <c r="B24" s="37">
        <f>COUNTIF($G$21:$G$29,A24)</f>
        <v>2</v>
      </c>
      <c r="C24" s="38">
        <f>AVERAGE(H25:H26)</f>
        <v>0.60880000000000001</v>
      </c>
      <c r="E24" s="39">
        <v>10413</v>
      </c>
      <c r="F24" s="40">
        <v>46273</v>
      </c>
      <c r="G24" s="41" t="s">
        <v>81</v>
      </c>
      <c r="H24" s="42">
        <v>0.57210000000000005</v>
      </c>
      <c r="K24" s="39">
        <v>10413</v>
      </c>
      <c r="L24" s="21">
        <v>62770</v>
      </c>
      <c r="M24" s="21">
        <v>6877</v>
      </c>
      <c r="N24" s="21">
        <v>73</v>
      </c>
    </row>
    <row r="25" spans="1:21" x14ac:dyDescent="0.35">
      <c r="A25" s="20" t="s">
        <v>81</v>
      </c>
      <c r="B25" s="37">
        <f>COUNTIF($G$21:$G$29,A25)</f>
        <v>2</v>
      </c>
      <c r="C25" s="38">
        <f>AVERAGE(H23:H24)</f>
        <v>0.54935</v>
      </c>
      <c r="E25" s="39">
        <v>10414</v>
      </c>
      <c r="F25" s="40">
        <v>46274</v>
      </c>
      <c r="G25" s="41" t="s">
        <v>78</v>
      </c>
      <c r="H25" s="42">
        <v>0.6089</v>
      </c>
      <c r="K25" s="39">
        <v>10414</v>
      </c>
      <c r="L25" s="21">
        <v>74673</v>
      </c>
      <c r="M25" s="21">
        <v>8678</v>
      </c>
      <c r="N25" s="21">
        <v>198</v>
      </c>
    </row>
    <row r="26" spans="1:21" x14ac:dyDescent="0.35">
      <c r="A26" s="22" t="s">
        <v>36</v>
      </c>
      <c r="B26" s="23">
        <f>SUM(B21:B25)</f>
        <v>8</v>
      </c>
      <c r="C26" s="44">
        <f>AVERAGE(C21:C25)</f>
        <v>0.62263000000000002</v>
      </c>
      <c r="E26" s="39">
        <v>10415</v>
      </c>
      <c r="F26" s="40">
        <v>46274</v>
      </c>
      <c r="G26" s="41" t="s">
        <v>78</v>
      </c>
      <c r="H26" s="42">
        <v>0.60870000000000002</v>
      </c>
      <c r="K26" s="39">
        <v>10415</v>
      </c>
      <c r="L26" s="21">
        <v>52266</v>
      </c>
      <c r="M26" s="21">
        <v>7104</v>
      </c>
      <c r="N26" s="21">
        <v>90</v>
      </c>
    </row>
    <row r="27" spans="1:21" x14ac:dyDescent="0.35">
      <c r="E27" s="39">
        <v>10422</v>
      </c>
      <c r="F27" s="40">
        <v>46275</v>
      </c>
      <c r="G27" s="28" t="s">
        <v>80</v>
      </c>
      <c r="H27" s="42">
        <v>0.64770000000000005</v>
      </c>
      <c r="K27" s="39">
        <v>10422</v>
      </c>
      <c r="L27" s="21">
        <v>47980</v>
      </c>
      <c r="M27" s="21">
        <v>6810</v>
      </c>
      <c r="N27" s="21">
        <v>241</v>
      </c>
    </row>
    <row r="28" spans="1:21" ht="13.5" customHeight="1" x14ac:dyDescent="0.35">
      <c r="E28" s="39">
        <v>10426</v>
      </c>
      <c r="F28" s="40">
        <v>46276</v>
      </c>
      <c r="G28" s="41" t="s">
        <v>80</v>
      </c>
      <c r="H28" s="42">
        <v>0.45929999999999999</v>
      </c>
      <c r="K28" s="39">
        <v>10426</v>
      </c>
      <c r="L28" s="21">
        <v>40951</v>
      </c>
      <c r="M28" s="21">
        <v>6723</v>
      </c>
      <c r="N28" s="21">
        <v>113</v>
      </c>
      <c r="R28" s="101" t="s">
        <v>86</v>
      </c>
      <c r="S28" s="101"/>
      <c r="T28" s="101"/>
      <c r="U28" s="101"/>
    </row>
    <row r="29" spans="1:21" ht="14.25" customHeight="1" x14ac:dyDescent="0.35">
      <c r="E29" s="39">
        <v>10425</v>
      </c>
      <c r="F29" s="40">
        <v>46276</v>
      </c>
      <c r="G29" s="41" t="s">
        <v>79</v>
      </c>
      <c r="H29" s="42">
        <v>0.60140000000000005</v>
      </c>
      <c r="K29" s="39">
        <v>10425</v>
      </c>
      <c r="L29" s="21">
        <v>78274</v>
      </c>
      <c r="M29" s="21">
        <v>9102</v>
      </c>
      <c r="N29" s="21">
        <v>137</v>
      </c>
      <c r="R29" s="108" t="s">
        <v>82</v>
      </c>
      <c r="S29" s="108"/>
      <c r="T29" s="108"/>
      <c r="U29" s="108"/>
    </row>
    <row r="30" spans="1:21" ht="14.25" customHeight="1" x14ac:dyDescent="0.35">
      <c r="K30" s="49" t="s">
        <v>36</v>
      </c>
      <c r="L30" s="50">
        <f>SUM(L22:L29)</f>
        <v>519155</v>
      </c>
      <c r="M30" s="50">
        <f>SUM(M22:M29)</f>
        <v>66320</v>
      </c>
      <c r="N30" s="50">
        <f>SUM(N22:N29)</f>
        <v>1341</v>
      </c>
      <c r="R30" s="10" t="s">
        <v>83</v>
      </c>
      <c r="S30" s="10" t="s">
        <v>76</v>
      </c>
      <c r="T30" s="10" t="s">
        <v>57</v>
      </c>
      <c r="U30" s="10" t="s">
        <v>58</v>
      </c>
    </row>
    <row r="31" spans="1:21" ht="14.25" customHeight="1" x14ac:dyDescent="0.35">
      <c r="R31" t="s">
        <v>77</v>
      </c>
      <c r="S31" s="48">
        <f>L38-L22</f>
        <v>-89998</v>
      </c>
      <c r="T31" s="48">
        <f>M41-M25</f>
        <v>-8678</v>
      </c>
      <c r="U31" s="48">
        <f>N41-N25</f>
        <v>-198</v>
      </c>
    </row>
    <row r="32" spans="1:21" ht="14.25" customHeight="1" x14ac:dyDescent="0.35">
      <c r="R32" t="s">
        <v>81</v>
      </c>
      <c r="S32" s="48">
        <f>L39-L23</f>
        <v>-72243</v>
      </c>
      <c r="T32" s="48">
        <f t="shared" ref="T32:U32" si="9">M39-M23</f>
        <v>-8769</v>
      </c>
      <c r="U32" s="48">
        <f t="shared" si="9"/>
        <v>-173</v>
      </c>
    </row>
    <row r="33" spans="1:21" ht="14.25" customHeight="1" x14ac:dyDescent="0.35">
      <c r="R33" t="s">
        <v>81</v>
      </c>
      <c r="S33" s="48">
        <f>L40-L24</f>
        <v>-62770</v>
      </c>
      <c r="T33" s="48">
        <f t="shared" ref="T33:U33" si="10">M40-M24</f>
        <v>-6877</v>
      </c>
      <c r="U33" s="48">
        <f t="shared" si="10"/>
        <v>-73</v>
      </c>
    </row>
    <row r="34" spans="1:21" ht="14.25" customHeight="1" x14ac:dyDescent="0.35">
      <c r="E34" s="96" t="s">
        <v>87</v>
      </c>
      <c r="F34" s="96"/>
      <c r="G34" s="96"/>
      <c r="H34" s="96"/>
      <c r="R34" t="s">
        <v>80</v>
      </c>
      <c r="S34" s="48">
        <f>L43-L27</f>
        <v>-47980</v>
      </c>
      <c r="T34" s="48">
        <f t="shared" ref="T34:U34" si="11">M43-M27</f>
        <v>-6810</v>
      </c>
      <c r="U34" s="48">
        <f t="shared" si="11"/>
        <v>-241</v>
      </c>
    </row>
    <row r="35" spans="1:21" x14ac:dyDescent="0.35">
      <c r="A35" s="105" t="s">
        <v>67</v>
      </c>
      <c r="B35" s="105"/>
      <c r="C35" s="105"/>
      <c r="E35" s="2" t="s">
        <v>68</v>
      </c>
      <c r="F35" s="2"/>
      <c r="G35" s="2"/>
      <c r="H35" s="2"/>
      <c r="K35" s="52" t="s">
        <v>69</v>
      </c>
      <c r="L35" s="52"/>
      <c r="M35" s="52"/>
      <c r="N35" s="52"/>
      <c r="R35" t="s">
        <v>80</v>
      </c>
      <c r="S35" s="48">
        <f>L44-L28</f>
        <v>-40951</v>
      </c>
      <c r="T35" s="48">
        <f t="shared" ref="T35:U35" si="12">M44-M28</f>
        <v>-6723</v>
      </c>
      <c r="U35" s="48">
        <f t="shared" si="12"/>
        <v>-113</v>
      </c>
    </row>
    <row r="36" spans="1:21" ht="15.65" customHeight="1" x14ac:dyDescent="0.35">
      <c r="A36" s="10" t="s">
        <v>70</v>
      </c>
      <c r="B36" s="10" t="s">
        <v>71</v>
      </c>
      <c r="C36" s="10" t="s">
        <v>72</v>
      </c>
      <c r="E36" s="36" t="s">
        <v>73</v>
      </c>
      <c r="F36" s="36" t="s">
        <v>9</v>
      </c>
      <c r="G36" s="36" t="s">
        <v>70</v>
      </c>
      <c r="H36" s="36" t="s">
        <v>74</v>
      </c>
      <c r="J36" s="53"/>
      <c r="K36" s="10" t="s">
        <v>75</v>
      </c>
      <c r="L36" s="10" t="s">
        <v>76</v>
      </c>
      <c r="M36" s="10" t="s">
        <v>57</v>
      </c>
      <c r="N36" s="10" t="s">
        <v>58</v>
      </c>
      <c r="R36" t="s">
        <v>79</v>
      </c>
      <c r="S36" s="48">
        <f>L45-L29</f>
        <v>-78274</v>
      </c>
      <c r="T36" s="48">
        <f t="shared" ref="T36:U36" si="13">M45-M29</f>
        <v>-9102</v>
      </c>
      <c r="U36" s="48">
        <f t="shared" si="13"/>
        <v>-137</v>
      </c>
    </row>
    <row r="37" spans="1:21" x14ac:dyDescent="0.35">
      <c r="A37" s="20" t="s">
        <v>77</v>
      </c>
      <c r="B37" s="37">
        <f>COUNTIF($G$37:$G$44,A37)</f>
        <v>1</v>
      </c>
      <c r="C37" s="38"/>
      <c r="E37" s="39"/>
      <c r="F37" s="40"/>
      <c r="G37" s="41" t="s">
        <v>78</v>
      </c>
      <c r="H37" s="42"/>
      <c r="I37" s="53"/>
      <c r="J37" s="53"/>
      <c r="K37" s="39"/>
      <c r="L37" s="14"/>
      <c r="M37" s="14"/>
      <c r="N37" s="14"/>
      <c r="R37" t="s">
        <v>78</v>
      </c>
      <c r="S37" s="48">
        <f>L37-L21</f>
        <v>0</v>
      </c>
      <c r="T37" s="48">
        <f t="shared" ref="T37:U37" si="14">M37-M21</f>
        <v>0</v>
      </c>
      <c r="U37" s="48">
        <f t="shared" si="14"/>
        <v>0</v>
      </c>
    </row>
    <row r="38" spans="1:21" ht="14.25" customHeight="1" x14ac:dyDescent="0.35">
      <c r="A38" s="20" t="s">
        <v>79</v>
      </c>
      <c r="B38" s="37">
        <f>COUNTIF($G$37:$G$44,A38)</f>
        <v>0</v>
      </c>
      <c r="C38" s="38"/>
      <c r="E38" s="39"/>
      <c r="F38" s="40"/>
      <c r="G38" s="41" t="s">
        <v>77</v>
      </c>
      <c r="H38" s="42"/>
      <c r="I38" s="53"/>
      <c r="K38" s="39"/>
      <c r="L38" s="21"/>
      <c r="M38" s="21"/>
      <c r="N38" s="21"/>
      <c r="R38" t="s">
        <v>78</v>
      </c>
      <c r="S38" s="48">
        <f>L41-L25</f>
        <v>-74673</v>
      </c>
      <c r="T38" s="48">
        <f t="shared" ref="T38:U38" si="15">M41-M25</f>
        <v>-8678</v>
      </c>
      <c r="U38" s="48">
        <f t="shared" si="15"/>
        <v>-198</v>
      </c>
    </row>
    <row r="39" spans="1:21" ht="14.25" customHeight="1" x14ac:dyDescent="0.35">
      <c r="A39" s="20" t="s">
        <v>80</v>
      </c>
      <c r="B39" s="37">
        <f>COUNTIF($G$37:$G$45,A39)</f>
        <v>2</v>
      </c>
      <c r="C39" s="38"/>
      <c r="E39" s="39"/>
      <c r="F39" s="40"/>
      <c r="G39" s="41" t="s">
        <v>81</v>
      </c>
      <c r="H39" s="42"/>
      <c r="K39" s="39"/>
      <c r="L39" s="21"/>
      <c r="M39" s="21"/>
      <c r="N39" s="21"/>
      <c r="R39" t="s">
        <v>78</v>
      </c>
      <c r="S39" s="48">
        <f>L42-L26</f>
        <v>-52266</v>
      </c>
      <c r="T39" s="48">
        <f t="shared" ref="T39:U39" si="16">M42-M26</f>
        <v>-7104</v>
      </c>
      <c r="U39" s="48">
        <f t="shared" si="16"/>
        <v>-90</v>
      </c>
    </row>
    <row r="40" spans="1:21" ht="14.25" customHeight="1" x14ac:dyDescent="0.35">
      <c r="A40" s="20" t="s">
        <v>78</v>
      </c>
      <c r="B40" s="37">
        <f>COUNTIF($G$37:$G$44,A40)</f>
        <v>3</v>
      </c>
      <c r="C40" s="38"/>
      <c r="D40" s="54"/>
      <c r="E40" s="39"/>
      <c r="F40" s="40"/>
      <c r="G40" s="41" t="s">
        <v>81</v>
      </c>
      <c r="H40" s="42"/>
      <c r="K40" s="39"/>
      <c r="L40" s="21"/>
      <c r="M40" s="21"/>
      <c r="N40" s="21"/>
      <c r="S40" s="48"/>
      <c r="T40" s="48"/>
      <c r="U40" s="48"/>
    </row>
    <row r="41" spans="1:21" x14ac:dyDescent="0.35">
      <c r="A41" s="20" t="s">
        <v>81</v>
      </c>
      <c r="B41" s="37">
        <f>COUNTIF($G$37:$G$44,A41)</f>
        <v>2</v>
      </c>
      <c r="C41" s="38"/>
      <c r="D41" s="54"/>
      <c r="E41" s="39"/>
      <c r="F41" s="40"/>
      <c r="G41" s="41" t="s">
        <v>78</v>
      </c>
      <c r="H41" s="42"/>
      <c r="K41" s="39"/>
      <c r="L41" s="21"/>
      <c r="M41" s="21"/>
      <c r="N41" s="21"/>
      <c r="S41" s="48"/>
      <c r="T41" s="48"/>
      <c r="U41" s="48"/>
    </row>
    <row r="42" spans="1:21" x14ac:dyDescent="0.35">
      <c r="A42" s="22" t="s">
        <v>36</v>
      </c>
      <c r="B42" s="23">
        <f>SUM(B37:B41)</f>
        <v>8</v>
      </c>
      <c r="C42" s="44" t="e">
        <f>AVERAGE(C37:C41)</f>
        <v>#DIV/0!</v>
      </c>
      <c r="E42" s="39"/>
      <c r="F42" s="40"/>
      <c r="G42" s="41" t="s">
        <v>78</v>
      </c>
      <c r="H42" s="42"/>
      <c r="K42" s="39"/>
      <c r="L42" s="21"/>
      <c r="M42" s="21"/>
      <c r="N42" s="21"/>
    </row>
    <row r="43" spans="1:21" ht="14.25" customHeight="1" x14ac:dyDescent="0.35">
      <c r="E43" s="39"/>
      <c r="F43" s="40"/>
      <c r="G43" s="28" t="s">
        <v>80</v>
      </c>
      <c r="H43" s="42"/>
      <c r="K43" s="39"/>
      <c r="L43" s="21"/>
      <c r="M43" s="21"/>
      <c r="N43" s="21"/>
    </row>
    <row r="44" spans="1:21" ht="14.25" customHeight="1" x14ac:dyDescent="0.35">
      <c r="E44" s="39"/>
      <c r="F44" s="40"/>
      <c r="G44" s="41" t="s">
        <v>80</v>
      </c>
      <c r="H44" s="42"/>
      <c r="K44" s="39"/>
      <c r="L44" s="21"/>
      <c r="M44" s="21"/>
      <c r="N44" s="21"/>
    </row>
    <row r="45" spans="1:21" ht="14.25" customHeight="1" x14ac:dyDescent="0.35">
      <c r="E45" s="39"/>
      <c r="F45" s="40"/>
      <c r="G45" s="41" t="s">
        <v>79</v>
      </c>
      <c r="H45" s="42"/>
      <c r="K45" s="39"/>
      <c r="L45" s="21"/>
      <c r="M45" s="21"/>
      <c r="N45" s="21"/>
    </row>
    <row r="46" spans="1:21" ht="14.25" customHeight="1" x14ac:dyDescent="0.35">
      <c r="K46" s="49" t="s">
        <v>36</v>
      </c>
      <c r="L46" s="50">
        <f>SUM(L38:L44)</f>
        <v>0</v>
      </c>
      <c r="M46" s="50">
        <f>SUM(M38:M44)</f>
        <v>0</v>
      </c>
      <c r="N46" s="50">
        <f>SUM(N38:N44)</f>
        <v>0</v>
      </c>
    </row>
    <row r="47" spans="1:21" ht="14.25" customHeight="1" x14ac:dyDescent="0.35"/>
    <row r="48" spans="1:21" ht="14.25" customHeight="1" x14ac:dyDescent="0.35">
      <c r="R48" s="101" t="s">
        <v>88</v>
      </c>
      <c r="S48" s="101"/>
      <c r="T48" s="101"/>
      <c r="U48" s="101"/>
    </row>
    <row r="49" spans="1:21" ht="13.5" customHeight="1" x14ac:dyDescent="0.35">
      <c r="R49" s="108" t="s">
        <v>82</v>
      </c>
      <c r="S49" s="108"/>
      <c r="T49" s="108"/>
      <c r="U49" s="108"/>
    </row>
    <row r="50" spans="1:21" ht="14.25" customHeight="1" x14ac:dyDescent="0.35">
      <c r="E50" s="96" t="s">
        <v>89</v>
      </c>
      <c r="F50" s="96"/>
      <c r="G50" s="96"/>
      <c r="H50" s="96"/>
      <c r="R50" s="10" t="s">
        <v>83</v>
      </c>
      <c r="S50" s="10" t="s">
        <v>76</v>
      </c>
      <c r="T50" s="10" t="s">
        <v>57</v>
      </c>
      <c r="U50" s="10" t="s">
        <v>58</v>
      </c>
    </row>
    <row r="51" spans="1:21" x14ac:dyDescent="0.35">
      <c r="A51" s="105" t="s">
        <v>67</v>
      </c>
      <c r="B51" s="105"/>
      <c r="C51" s="105"/>
      <c r="E51" s="2" t="s">
        <v>68</v>
      </c>
      <c r="F51" s="2"/>
      <c r="G51" s="2"/>
      <c r="H51" s="2"/>
      <c r="K51" s="52" t="s">
        <v>69</v>
      </c>
      <c r="L51" s="52"/>
      <c r="M51" s="52"/>
      <c r="N51" s="52"/>
      <c r="R51" t="s">
        <v>77</v>
      </c>
      <c r="S51" s="48"/>
      <c r="T51" s="48"/>
      <c r="U51" s="48"/>
    </row>
    <row r="52" spans="1:21" ht="16" customHeight="1" x14ac:dyDescent="0.35">
      <c r="A52" s="10" t="s">
        <v>70</v>
      </c>
      <c r="B52" s="10" t="s">
        <v>71</v>
      </c>
      <c r="C52" s="10" t="s">
        <v>72</v>
      </c>
      <c r="E52" s="36" t="s">
        <v>73</v>
      </c>
      <c r="F52" s="36" t="s">
        <v>9</v>
      </c>
      <c r="G52" s="36" t="s">
        <v>70</v>
      </c>
      <c r="H52" s="36" t="s">
        <v>74</v>
      </c>
      <c r="J52" s="53"/>
      <c r="K52" s="10" t="s">
        <v>75</v>
      </c>
      <c r="L52" s="10" t="s">
        <v>76</v>
      </c>
      <c r="M52" s="10" t="s">
        <v>57</v>
      </c>
      <c r="N52" s="10" t="s">
        <v>58</v>
      </c>
      <c r="R52" t="s">
        <v>81</v>
      </c>
      <c r="S52" s="48"/>
      <c r="T52" s="48"/>
      <c r="U52" s="48"/>
    </row>
    <row r="53" spans="1:21" x14ac:dyDescent="0.35">
      <c r="A53" s="20" t="s">
        <v>77</v>
      </c>
      <c r="B53" s="37">
        <f>COUNTIF($G$53:$G$61,A53)</f>
        <v>0</v>
      </c>
      <c r="C53" s="38"/>
      <c r="E53" s="39"/>
      <c r="F53" s="40"/>
      <c r="G53" s="41"/>
      <c r="H53" s="42"/>
      <c r="I53" s="53"/>
      <c r="J53" s="53"/>
      <c r="K53" s="39"/>
      <c r="L53" s="14"/>
      <c r="M53" s="14"/>
      <c r="N53" s="14"/>
      <c r="R53" t="s">
        <v>81</v>
      </c>
      <c r="S53" s="48"/>
      <c r="T53" s="48"/>
      <c r="U53" s="48"/>
    </row>
    <row r="54" spans="1:21" x14ac:dyDescent="0.35">
      <c r="A54" s="20" t="s">
        <v>79</v>
      </c>
      <c r="B54" s="37">
        <f>COUNTIF($G$53:$G$61,A54)</f>
        <v>0</v>
      </c>
      <c r="C54" s="38"/>
      <c r="E54" s="39"/>
      <c r="F54" s="40"/>
      <c r="G54" s="41"/>
      <c r="H54" s="42"/>
      <c r="I54" s="53"/>
      <c r="K54" s="39"/>
      <c r="L54" s="21"/>
      <c r="M54" s="21"/>
      <c r="N54" s="21"/>
      <c r="R54" t="s">
        <v>80</v>
      </c>
      <c r="S54" s="48"/>
      <c r="T54" s="48"/>
      <c r="U54" s="48"/>
    </row>
    <row r="55" spans="1:21" x14ac:dyDescent="0.35">
      <c r="A55" s="20" t="s">
        <v>80</v>
      </c>
      <c r="B55" s="37">
        <f>COUNTIF($G$53:$G$61,A55)</f>
        <v>0</v>
      </c>
      <c r="C55" s="38"/>
      <c r="E55" s="39"/>
      <c r="F55" s="40"/>
      <c r="G55" s="41"/>
      <c r="H55" s="42"/>
      <c r="K55" s="39"/>
      <c r="L55" s="21"/>
      <c r="M55" s="21"/>
      <c r="N55" s="21"/>
      <c r="R55" t="s">
        <v>80</v>
      </c>
      <c r="S55" s="48"/>
      <c r="T55" s="48"/>
      <c r="U55" s="48"/>
    </row>
    <row r="56" spans="1:21" x14ac:dyDescent="0.35">
      <c r="A56" s="20" t="s">
        <v>78</v>
      </c>
      <c r="B56" s="37">
        <f>COUNTIF($G$53:$G$61,A56)</f>
        <v>0</v>
      </c>
      <c r="C56" s="38"/>
      <c r="D56" s="54"/>
      <c r="E56" s="39"/>
      <c r="F56" s="40"/>
      <c r="G56" s="41"/>
      <c r="H56" s="42"/>
      <c r="K56" s="39"/>
      <c r="L56" s="21"/>
      <c r="M56" s="21"/>
      <c r="N56" s="21"/>
      <c r="R56" t="s">
        <v>79</v>
      </c>
      <c r="S56" s="48"/>
      <c r="T56" s="48"/>
      <c r="U56" s="48"/>
    </row>
    <row r="57" spans="1:21" x14ac:dyDescent="0.35">
      <c r="A57" s="20" t="s">
        <v>81</v>
      </c>
      <c r="B57" s="37">
        <f>COUNTIF($G$53:$G$61,A57)</f>
        <v>0</v>
      </c>
      <c r="C57" s="38"/>
      <c r="D57" s="54"/>
      <c r="E57" s="39"/>
      <c r="F57" s="40"/>
      <c r="G57" s="41"/>
      <c r="H57" s="42"/>
      <c r="K57" s="39"/>
      <c r="L57" s="21"/>
      <c r="M57" s="21"/>
      <c r="N57" s="21"/>
      <c r="R57" t="s">
        <v>78</v>
      </c>
      <c r="S57" s="48"/>
      <c r="T57" s="48"/>
      <c r="U57" s="48"/>
    </row>
    <row r="58" spans="1:21" x14ac:dyDescent="0.35">
      <c r="A58" s="22" t="s">
        <v>36</v>
      </c>
      <c r="B58" s="23">
        <f>SUM(B53:B57)</f>
        <v>0</v>
      </c>
      <c r="C58" s="44" t="e">
        <f>AVERAGE(C53:C57)</f>
        <v>#DIV/0!</v>
      </c>
      <c r="E58" s="39"/>
      <c r="F58" s="40"/>
      <c r="G58" s="41"/>
      <c r="H58" s="42"/>
      <c r="K58" s="39"/>
      <c r="L58" s="21"/>
      <c r="M58" s="21"/>
      <c r="N58" s="21"/>
      <c r="R58" t="s">
        <v>78</v>
      </c>
      <c r="S58" s="48"/>
      <c r="T58" s="48"/>
      <c r="U58" s="48"/>
    </row>
    <row r="59" spans="1:21" x14ac:dyDescent="0.35">
      <c r="E59" s="39"/>
      <c r="F59" s="40"/>
      <c r="G59" s="41"/>
      <c r="H59" s="42"/>
      <c r="K59" s="39"/>
      <c r="L59" s="21"/>
      <c r="M59" s="21"/>
      <c r="N59" s="21"/>
      <c r="R59" t="s">
        <v>78</v>
      </c>
      <c r="S59" s="48"/>
      <c r="T59" s="48"/>
      <c r="U59" s="48"/>
    </row>
    <row r="60" spans="1:21" x14ac:dyDescent="0.35">
      <c r="E60" s="39"/>
      <c r="F60" s="40"/>
      <c r="G60" s="41"/>
      <c r="H60" s="42"/>
      <c r="K60" s="39"/>
      <c r="L60" s="21"/>
      <c r="M60" s="21"/>
      <c r="N60" s="21"/>
    </row>
    <row r="61" spans="1:21" x14ac:dyDescent="0.35">
      <c r="E61" s="39"/>
      <c r="F61" s="40"/>
      <c r="G61" s="41"/>
      <c r="H61" s="42"/>
      <c r="K61" s="39"/>
      <c r="L61" s="21"/>
      <c r="M61" s="21"/>
      <c r="N61" s="21"/>
    </row>
    <row r="62" spans="1:21" x14ac:dyDescent="0.35">
      <c r="K62" s="49" t="s">
        <v>36</v>
      </c>
      <c r="L62" s="50">
        <f>SUM(L53:L61)</f>
        <v>0</v>
      </c>
      <c r="M62" s="50">
        <f>SUM(M53:M61)</f>
        <v>0</v>
      </c>
      <c r="N62" s="50">
        <f>SUM(N53:N61)</f>
        <v>0</v>
      </c>
    </row>
    <row r="63" spans="1:21" x14ac:dyDescent="0.35">
      <c r="F63" s="71" t="s">
        <v>90</v>
      </c>
    </row>
    <row r="64" spans="1:21" x14ac:dyDescent="0.35">
      <c r="F64" s="71"/>
    </row>
    <row r="65" spans="1:21" x14ac:dyDescent="0.35">
      <c r="F65" s="71"/>
      <c r="R65" s="101" t="s">
        <v>91</v>
      </c>
      <c r="S65" s="101"/>
      <c r="T65" s="101"/>
      <c r="U65" s="101"/>
    </row>
    <row r="66" spans="1:21" x14ac:dyDescent="0.35">
      <c r="F66" s="71"/>
      <c r="R66" s="108" t="s">
        <v>82</v>
      </c>
      <c r="S66" s="108"/>
      <c r="T66" s="108"/>
      <c r="U66" s="108"/>
    </row>
    <row r="67" spans="1:21" x14ac:dyDescent="0.35">
      <c r="F67" s="71"/>
      <c r="R67" s="10" t="s">
        <v>83</v>
      </c>
      <c r="S67" s="10" t="s">
        <v>76</v>
      </c>
      <c r="T67" s="10" t="s">
        <v>57</v>
      </c>
      <c r="U67" s="10" t="s">
        <v>58</v>
      </c>
    </row>
    <row r="68" spans="1:21" x14ac:dyDescent="0.35">
      <c r="E68" s="96" t="s">
        <v>92</v>
      </c>
      <c r="F68" s="96"/>
      <c r="G68" s="96"/>
      <c r="H68" s="96"/>
      <c r="R68" t="s">
        <v>77</v>
      </c>
      <c r="S68" s="48"/>
      <c r="T68" s="48"/>
      <c r="U68" s="48"/>
    </row>
    <row r="69" spans="1:21" x14ac:dyDescent="0.35">
      <c r="A69" s="105" t="s">
        <v>67</v>
      </c>
      <c r="B69" s="105"/>
      <c r="C69" s="105"/>
      <c r="E69" s="2" t="s">
        <v>68</v>
      </c>
      <c r="F69" s="2"/>
      <c r="G69" s="2"/>
      <c r="H69" s="2"/>
      <c r="K69" s="52" t="s">
        <v>69</v>
      </c>
      <c r="L69" s="52"/>
      <c r="M69" s="52"/>
      <c r="N69" s="52"/>
      <c r="R69" t="s">
        <v>81</v>
      </c>
      <c r="S69" s="48"/>
      <c r="T69" s="48"/>
      <c r="U69" s="48"/>
    </row>
    <row r="70" spans="1:21" x14ac:dyDescent="0.35">
      <c r="A70" s="10" t="s">
        <v>70</v>
      </c>
      <c r="B70" s="10" t="s">
        <v>71</v>
      </c>
      <c r="C70" s="10" t="s">
        <v>72</v>
      </c>
      <c r="E70" s="36" t="s">
        <v>73</v>
      </c>
      <c r="F70" s="36" t="s">
        <v>9</v>
      </c>
      <c r="G70" s="36" t="s">
        <v>70</v>
      </c>
      <c r="H70" s="36" t="s">
        <v>74</v>
      </c>
      <c r="J70" s="53"/>
      <c r="K70" s="10" t="s">
        <v>75</v>
      </c>
      <c r="L70" s="10" t="s">
        <v>76</v>
      </c>
      <c r="M70" s="10" t="s">
        <v>57</v>
      </c>
      <c r="N70" s="10" t="s">
        <v>58</v>
      </c>
      <c r="R70" t="s">
        <v>81</v>
      </c>
      <c r="S70" s="48"/>
      <c r="T70" s="48"/>
      <c r="U70" s="48"/>
    </row>
    <row r="71" spans="1:21" x14ac:dyDescent="0.35">
      <c r="A71" s="20" t="s">
        <v>77</v>
      </c>
      <c r="B71" s="37">
        <f>COUNTIF($G$53:$G$61,A71)</f>
        <v>0</v>
      </c>
      <c r="C71" s="38"/>
      <c r="E71" s="39"/>
      <c r="F71" s="40"/>
      <c r="G71" s="41"/>
      <c r="H71" s="42"/>
      <c r="I71" s="53"/>
      <c r="J71" s="53"/>
      <c r="K71" s="39"/>
      <c r="L71" s="14"/>
      <c r="M71" s="14"/>
      <c r="N71" s="14"/>
      <c r="R71" t="s">
        <v>80</v>
      </c>
      <c r="S71" s="48"/>
      <c r="T71" s="48"/>
      <c r="U71" s="48"/>
    </row>
    <row r="72" spans="1:21" x14ac:dyDescent="0.35">
      <c r="A72" s="20" t="s">
        <v>79</v>
      </c>
      <c r="B72" s="37">
        <f>COUNTIF($G$53:$G$61,A72)</f>
        <v>0</v>
      </c>
      <c r="C72" s="38"/>
      <c r="E72" s="39"/>
      <c r="F72" s="40"/>
      <c r="G72" s="41"/>
      <c r="H72" s="42"/>
      <c r="I72" s="53"/>
      <c r="K72" s="39"/>
      <c r="L72" s="21"/>
      <c r="M72" s="21"/>
      <c r="N72" s="21"/>
      <c r="R72" t="s">
        <v>80</v>
      </c>
      <c r="S72" s="48"/>
      <c r="T72" s="48"/>
      <c r="U72" s="48"/>
    </row>
    <row r="73" spans="1:21" x14ac:dyDescent="0.35">
      <c r="A73" s="20" t="s">
        <v>80</v>
      </c>
      <c r="B73" s="37">
        <f>COUNTIF($G$53:$G$61,A73)</f>
        <v>0</v>
      </c>
      <c r="C73" s="38"/>
      <c r="E73" s="39"/>
      <c r="F73" s="40"/>
      <c r="G73" s="41"/>
      <c r="H73" s="42"/>
      <c r="K73" s="39"/>
      <c r="L73" s="21"/>
      <c r="M73" s="21"/>
      <c r="N73" s="21"/>
      <c r="R73" t="s">
        <v>79</v>
      </c>
      <c r="S73" s="48"/>
      <c r="T73" s="48"/>
      <c r="U73" s="48"/>
    </row>
    <row r="74" spans="1:21" x14ac:dyDescent="0.35">
      <c r="A74" s="20" t="s">
        <v>78</v>
      </c>
      <c r="B74" s="37">
        <f>COUNTIF($G$53:$G$61,A74)</f>
        <v>0</v>
      </c>
      <c r="C74" s="38"/>
      <c r="D74" s="54"/>
      <c r="E74" s="39"/>
      <c r="F74" s="40"/>
      <c r="G74" s="41"/>
      <c r="H74" s="42"/>
      <c r="K74" s="39"/>
      <c r="L74" s="21"/>
      <c r="M74" s="21"/>
      <c r="N74" s="21"/>
      <c r="R74" t="s">
        <v>78</v>
      </c>
      <c r="S74" s="48"/>
      <c r="T74" s="48"/>
      <c r="U74" s="48"/>
    </row>
    <row r="75" spans="1:21" x14ac:dyDescent="0.35">
      <c r="A75" s="20" t="s">
        <v>81</v>
      </c>
      <c r="B75" s="37">
        <f>COUNTIF($G$53:$G$61,A75)</f>
        <v>0</v>
      </c>
      <c r="C75" s="38"/>
      <c r="D75" s="54"/>
      <c r="E75" s="39"/>
      <c r="F75" s="40"/>
      <c r="G75" s="41"/>
      <c r="H75" s="42"/>
      <c r="K75" s="39"/>
      <c r="L75" s="21"/>
      <c r="M75" s="21"/>
      <c r="N75" s="21"/>
      <c r="R75" t="s">
        <v>78</v>
      </c>
      <c r="S75" s="48"/>
      <c r="T75" s="48"/>
      <c r="U75" s="48"/>
    </row>
    <row r="76" spans="1:21" x14ac:dyDescent="0.35">
      <c r="A76" s="22" t="s">
        <v>36</v>
      </c>
      <c r="B76" s="23">
        <f>SUM(B71:B75)</f>
        <v>0</v>
      </c>
      <c r="C76" s="44" t="e">
        <f>AVERAGE(C71:C75)</f>
        <v>#DIV/0!</v>
      </c>
      <c r="E76" s="39"/>
      <c r="F76" s="40"/>
      <c r="G76" s="41"/>
      <c r="H76" s="42"/>
      <c r="K76" s="39"/>
      <c r="L76" s="21"/>
      <c r="M76" s="21"/>
      <c r="N76" s="21"/>
      <c r="R76" t="s">
        <v>78</v>
      </c>
      <c r="S76" s="48"/>
      <c r="T76" s="48"/>
      <c r="U76" s="48"/>
    </row>
    <row r="77" spans="1:21" x14ac:dyDescent="0.35">
      <c r="E77" s="39"/>
      <c r="F77" s="40"/>
      <c r="G77" s="41"/>
      <c r="H77" s="42"/>
      <c r="K77" s="39"/>
      <c r="L77" s="21"/>
      <c r="M77" s="21"/>
      <c r="N77" s="21"/>
    </row>
    <row r="78" spans="1:21" x14ac:dyDescent="0.35">
      <c r="E78" s="39"/>
      <c r="F78" s="40"/>
      <c r="G78" s="41"/>
      <c r="H78" s="42"/>
      <c r="K78" s="39"/>
      <c r="L78" s="21"/>
      <c r="M78" s="21"/>
      <c r="N78" s="21"/>
    </row>
    <row r="79" spans="1:21" x14ac:dyDescent="0.35">
      <c r="E79" s="39"/>
      <c r="F79" s="40"/>
      <c r="G79" s="41"/>
      <c r="H79" s="42"/>
      <c r="K79" s="39"/>
      <c r="L79" s="21"/>
      <c r="M79" s="21"/>
      <c r="N79" s="21"/>
    </row>
    <row r="80" spans="1:21" x14ac:dyDescent="0.35">
      <c r="K80" s="49" t="s">
        <v>36</v>
      </c>
      <c r="L80" s="50">
        <f>SUM(L71:L79)</f>
        <v>0</v>
      </c>
      <c r="M80" s="50">
        <f>SUM(M71:M79)</f>
        <v>0</v>
      </c>
      <c r="N80" s="50">
        <f>SUM(N71:N79)</f>
        <v>0</v>
      </c>
    </row>
    <row r="81" spans="1:21" x14ac:dyDescent="0.35">
      <c r="F81" s="71"/>
    </row>
    <row r="82" spans="1:21" x14ac:dyDescent="0.35">
      <c r="F82" s="71"/>
    </row>
    <row r="83" spans="1:21" x14ac:dyDescent="0.35">
      <c r="F83" s="71"/>
    </row>
    <row r="84" spans="1:21" x14ac:dyDescent="0.35">
      <c r="F84" s="71"/>
    </row>
    <row r="85" spans="1:21" x14ac:dyDescent="0.35">
      <c r="F85" s="71"/>
    </row>
    <row r="86" spans="1:21" x14ac:dyDescent="0.35">
      <c r="F86" s="71"/>
    </row>
    <row r="88" spans="1:21" ht="21" x14ac:dyDescent="0.5">
      <c r="A88" s="106" t="s">
        <v>93</v>
      </c>
      <c r="B88" s="106"/>
      <c r="C88" s="106"/>
      <c r="D88" s="106"/>
      <c r="E88" s="106"/>
      <c r="F88" s="106"/>
      <c r="G88" s="106"/>
      <c r="H88" s="106"/>
      <c r="I88" s="106"/>
    </row>
    <row r="89" spans="1:21" x14ac:dyDescent="0.35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</row>
    <row r="91" spans="1:21" ht="18.5" x14ac:dyDescent="0.45">
      <c r="A91" s="104" t="s">
        <v>77</v>
      </c>
      <c r="B91" s="104"/>
      <c r="C91" s="104"/>
      <c r="D91" s="104"/>
      <c r="E91" s="104"/>
      <c r="F91" s="104"/>
      <c r="G91" s="104"/>
      <c r="H91" s="104"/>
      <c r="I91" s="104"/>
    </row>
    <row r="92" spans="1:21" x14ac:dyDescent="0.35">
      <c r="A92" s="55" t="s">
        <v>94</v>
      </c>
      <c r="B92" s="55" t="s">
        <v>9</v>
      </c>
      <c r="C92" s="55" t="s">
        <v>70</v>
      </c>
      <c r="D92" s="55" t="s">
        <v>95</v>
      </c>
      <c r="F92" s="55" t="s">
        <v>94</v>
      </c>
      <c r="G92" s="55" t="s">
        <v>76</v>
      </c>
      <c r="H92" s="55" t="s">
        <v>57</v>
      </c>
      <c r="I92" s="55" t="s">
        <v>58</v>
      </c>
    </row>
    <row r="93" spans="1:21" x14ac:dyDescent="0.35">
      <c r="A93" s="56">
        <f>E6</f>
        <v>10394</v>
      </c>
      <c r="B93" s="57">
        <f>F6</f>
        <v>46266</v>
      </c>
      <c r="C93" s="56" t="s">
        <v>77</v>
      </c>
      <c r="D93" s="58">
        <f>H6</f>
        <v>0.72289999999999999</v>
      </c>
      <c r="F93" s="56">
        <f>A93</f>
        <v>10394</v>
      </c>
      <c r="G93" s="59">
        <f>L6</f>
        <v>80326</v>
      </c>
      <c r="H93" s="59">
        <f>M6</f>
        <v>15039</v>
      </c>
      <c r="I93" s="59">
        <f>N6</f>
        <v>387</v>
      </c>
    </row>
    <row r="94" spans="1:21" x14ac:dyDescent="0.35">
      <c r="A94" s="56">
        <f>E22</f>
        <v>10411</v>
      </c>
      <c r="B94" s="57">
        <f>F22</f>
        <v>46273</v>
      </c>
      <c r="C94" s="56" t="s">
        <v>77</v>
      </c>
      <c r="D94" s="58">
        <f>H22</f>
        <v>0.70589999999999997</v>
      </c>
      <c r="F94" s="56">
        <f>A94</f>
        <v>10411</v>
      </c>
      <c r="G94" s="59">
        <f>L22</f>
        <v>89998</v>
      </c>
      <c r="H94" s="59">
        <f t="shared" ref="H94:I94" si="17">M22</f>
        <v>12257</v>
      </c>
      <c r="I94" s="59">
        <f t="shared" si="17"/>
        <v>316</v>
      </c>
    </row>
    <row r="95" spans="1:21" x14ac:dyDescent="0.35">
      <c r="A95" s="56"/>
      <c r="B95" s="57"/>
      <c r="C95" s="56" t="s">
        <v>77</v>
      </c>
      <c r="D95" s="58"/>
      <c r="F95" s="56"/>
      <c r="G95" s="59"/>
      <c r="H95" s="59"/>
      <c r="I95" s="59"/>
    </row>
    <row r="96" spans="1:21" x14ac:dyDescent="0.35">
      <c r="A96" s="56"/>
      <c r="B96" s="57"/>
      <c r="C96" s="56" t="s">
        <v>77</v>
      </c>
      <c r="D96" s="72"/>
      <c r="F96" s="56"/>
      <c r="G96" s="59"/>
      <c r="H96" s="59"/>
      <c r="I96" s="59"/>
    </row>
    <row r="111" spans="1:9" ht="18.5" x14ac:dyDescent="0.45">
      <c r="A111" s="104" t="s">
        <v>79</v>
      </c>
      <c r="B111" s="104"/>
      <c r="C111" s="104"/>
      <c r="D111" s="104"/>
      <c r="E111" s="104"/>
      <c r="F111" s="104"/>
      <c r="G111" s="104"/>
      <c r="H111" s="104"/>
      <c r="I111" s="104"/>
    </row>
    <row r="112" spans="1:9" x14ac:dyDescent="0.35">
      <c r="A112" s="55" t="s">
        <v>94</v>
      </c>
      <c r="B112" s="55" t="s">
        <v>9</v>
      </c>
      <c r="C112" s="55" t="s">
        <v>70</v>
      </c>
      <c r="D112" s="55" t="s">
        <v>95</v>
      </c>
      <c r="F112" s="55" t="s">
        <v>94</v>
      </c>
      <c r="G112" s="55" t="s">
        <v>76</v>
      </c>
      <c r="H112" s="55" t="s">
        <v>57</v>
      </c>
      <c r="I112" s="55" t="s">
        <v>58</v>
      </c>
    </row>
    <row r="113" spans="1:9" x14ac:dyDescent="0.35">
      <c r="A113" s="56">
        <f>E14</f>
        <v>10408</v>
      </c>
      <c r="B113" s="95">
        <f>F14</f>
        <v>46269</v>
      </c>
      <c r="C113" s="56" t="s">
        <v>79</v>
      </c>
      <c r="D113" s="58">
        <f>H14</f>
        <v>0.62619999999999998</v>
      </c>
      <c r="F113" s="56">
        <f>A113</f>
        <v>10408</v>
      </c>
      <c r="G113" s="59">
        <f>L14</f>
        <v>77864</v>
      </c>
      <c r="H113" s="59">
        <f>M14</f>
        <v>9553</v>
      </c>
      <c r="I113" s="59">
        <f>N14</f>
        <v>216</v>
      </c>
    </row>
    <row r="114" spans="1:9" x14ac:dyDescent="0.35">
      <c r="A114" s="56">
        <f>E29</f>
        <v>10425</v>
      </c>
      <c r="B114" s="95">
        <f>F29</f>
        <v>46276</v>
      </c>
      <c r="C114" s="56" t="s">
        <v>79</v>
      </c>
      <c r="D114" s="58">
        <f>H29</f>
        <v>0.60140000000000005</v>
      </c>
      <c r="F114" s="56">
        <f>A114</f>
        <v>10425</v>
      </c>
      <c r="G114" s="59">
        <f>L29</f>
        <v>78274</v>
      </c>
      <c r="H114" s="59">
        <f t="shared" ref="H114:I114" si="18">M29</f>
        <v>9102</v>
      </c>
      <c r="I114" s="59">
        <f t="shared" si="18"/>
        <v>137</v>
      </c>
    </row>
    <row r="115" spans="1:9" x14ac:dyDescent="0.35">
      <c r="A115" s="56"/>
      <c r="B115" s="57"/>
      <c r="C115" s="56" t="s">
        <v>79</v>
      </c>
      <c r="D115" s="58"/>
      <c r="F115" s="56"/>
      <c r="G115" s="59"/>
      <c r="H115" s="59"/>
      <c r="I115" s="59"/>
    </row>
    <row r="116" spans="1:9" x14ac:dyDescent="0.35">
      <c r="A116" s="56"/>
      <c r="B116" s="57"/>
      <c r="C116" s="56" t="s">
        <v>79</v>
      </c>
      <c r="D116" s="58"/>
      <c r="F116" s="56"/>
      <c r="G116" s="59"/>
      <c r="H116" s="59"/>
      <c r="I116" s="59"/>
    </row>
    <row r="131" spans="1:9" ht="18.5" x14ac:dyDescent="0.45">
      <c r="A131" s="104" t="s">
        <v>80</v>
      </c>
      <c r="B131" s="104"/>
      <c r="C131" s="104"/>
      <c r="D131" s="104"/>
      <c r="E131" s="104"/>
      <c r="F131" s="104"/>
      <c r="G131" s="104"/>
      <c r="H131" s="104"/>
      <c r="I131" s="104"/>
    </row>
    <row r="132" spans="1:9" x14ac:dyDescent="0.35">
      <c r="A132" s="55" t="s">
        <v>94</v>
      </c>
      <c r="B132" s="55" t="s">
        <v>9</v>
      </c>
      <c r="C132" s="55" t="s">
        <v>70</v>
      </c>
      <c r="D132" s="55" t="s">
        <v>95</v>
      </c>
      <c r="F132" s="55" t="s">
        <v>94</v>
      </c>
      <c r="G132" s="55" t="s">
        <v>76</v>
      </c>
      <c r="H132" s="55" t="s">
        <v>57</v>
      </c>
      <c r="I132" s="55" t="s">
        <v>58</v>
      </c>
    </row>
    <row r="133" spans="1:9" x14ac:dyDescent="0.35">
      <c r="A133" s="56">
        <f>E11</f>
        <v>10404</v>
      </c>
      <c r="B133" s="57">
        <f>F11</f>
        <v>46268</v>
      </c>
      <c r="C133" s="56" t="s">
        <v>80</v>
      </c>
      <c r="D133" s="58">
        <f>H11</f>
        <v>0.71430000000000005</v>
      </c>
      <c r="F133" s="56">
        <f>A133</f>
        <v>10404</v>
      </c>
      <c r="G133" s="59">
        <f>L11</f>
        <v>49231</v>
      </c>
      <c r="H133" s="59">
        <f>M11</f>
        <v>9993</v>
      </c>
      <c r="I133" s="59">
        <f>N11</f>
        <v>412</v>
      </c>
    </row>
    <row r="134" spans="1:9" x14ac:dyDescent="0.35">
      <c r="A134" s="56">
        <f>E13</f>
        <v>10409</v>
      </c>
      <c r="B134" s="57">
        <f>F14</f>
        <v>46269</v>
      </c>
      <c r="C134" s="56" t="s">
        <v>80</v>
      </c>
      <c r="D134" s="58">
        <f>H13</f>
        <v>0.42070000000000002</v>
      </c>
      <c r="F134" s="56">
        <f>A134</f>
        <v>10409</v>
      </c>
      <c r="G134" s="59">
        <f>L14</f>
        <v>77864</v>
      </c>
      <c r="H134" s="59">
        <f>M14</f>
        <v>9553</v>
      </c>
      <c r="I134" s="59">
        <f>N14</f>
        <v>216</v>
      </c>
    </row>
    <row r="135" spans="1:9" x14ac:dyDescent="0.35">
      <c r="A135" s="56">
        <f>E27</f>
        <v>10422</v>
      </c>
      <c r="B135" s="57">
        <f>F27</f>
        <v>46275</v>
      </c>
      <c r="C135" s="56" t="s">
        <v>80</v>
      </c>
      <c r="D135" s="58">
        <f>H27</f>
        <v>0.64770000000000005</v>
      </c>
      <c r="F135" s="56">
        <f>A135</f>
        <v>10422</v>
      </c>
      <c r="G135" s="59">
        <f>L27</f>
        <v>47980</v>
      </c>
      <c r="H135" s="59">
        <f t="shared" ref="H135:I135" si="19">M27</f>
        <v>6810</v>
      </c>
      <c r="I135" s="59">
        <f t="shared" si="19"/>
        <v>241</v>
      </c>
    </row>
    <row r="136" spans="1:9" x14ac:dyDescent="0.35">
      <c r="A136" s="56">
        <f>E28</f>
        <v>10426</v>
      </c>
      <c r="B136" s="57">
        <f>F28</f>
        <v>46276</v>
      </c>
      <c r="C136" s="56" t="s">
        <v>80</v>
      </c>
      <c r="D136" s="58">
        <f>H28</f>
        <v>0.45929999999999999</v>
      </c>
      <c r="F136" s="56">
        <f t="shared" ref="F136:F140" si="20">A136</f>
        <v>10426</v>
      </c>
      <c r="G136" s="59">
        <f>L28</f>
        <v>40951</v>
      </c>
      <c r="H136" s="59">
        <f t="shared" ref="H136:I136" si="21">M28</f>
        <v>6723</v>
      </c>
      <c r="I136" s="59">
        <f t="shared" si="21"/>
        <v>113</v>
      </c>
    </row>
    <row r="137" spans="1:9" x14ac:dyDescent="0.35">
      <c r="A137" s="56"/>
      <c r="B137" s="57"/>
      <c r="C137" s="56" t="s">
        <v>80</v>
      </c>
      <c r="D137" s="58"/>
      <c r="F137" s="56">
        <f t="shared" si="20"/>
        <v>0</v>
      </c>
      <c r="G137" s="59"/>
      <c r="H137" s="59"/>
      <c r="I137" s="59"/>
    </row>
    <row r="138" spans="1:9" x14ac:dyDescent="0.35">
      <c r="A138" s="56"/>
      <c r="B138" s="57"/>
      <c r="C138" s="56" t="s">
        <v>80</v>
      </c>
      <c r="D138" s="58"/>
      <c r="F138" s="56">
        <f t="shared" si="20"/>
        <v>0</v>
      </c>
      <c r="G138" s="59"/>
      <c r="H138" s="59"/>
      <c r="I138" s="59"/>
    </row>
    <row r="139" spans="1:9" x14ac:dyDescent="0.35">
      <c r="A139" s="56"/>
      <c r="B139" s="57"/>
      <c r="C139" s="56" t="s">
        <v>80</v>
      </c>
      <c r="D139" s="72"/>
      <c r="F139" s="56">
        <f t="shared" si="20"/>
        <v>0</v>
      </c>
      <c r="G139" s="59"/>
      <c r="H139" s="59"/>
      <c r="I139" s="59"/>
    </row>
    <row r="140" spans="1:9" x14ac:dyDescent="0.35">
      <c r="A140" s="56"/>
      <c r="B140" s="57"/>
      <c r="C140" s="56" t="s">
        <v>80</v>
      </c>
      <c r="D140" s="72"/>
      <c r="F140" s="56">
        <f t="shared" si="20"/>
        <v>0</v>
      </c>
      <c r="G140" s="59"/>
      <c r="H140" s="59"/>
      <c r="I140" s="59"/>
    </row>
    <row r="151" spans="1:9" ht="18.5" x14ac:dyDescent="0.45">
      <c r="A151" s="104" t="s">
        <v>78</v>
      </c>
      <c r="B151" s="104"/>
      <c r="C151" s="104"/>
      <c r="D151" s="104"/>
      <c r="E151" s="104"/>
      <c r="F151" s="104"/>
      <c r="G151" s="104"/>
      <c r="H151" s="104"/>
      <c r="I151" s="104"/>
    </row>
    <row r="152" spans="1:9" x14ac:dyDescent="0.35">
      <c r="A152" s="55" t="s">
        <v>94</v>
      </c>
      <c r="B152" s="55" t="s">
        <v>9</v>
      </c>
      <c r="C152" s="55" t="s">
        <v>70</v>
      </c>
      <c r="D152" s="55" t="s">
        <v>95</v>
      </c>
      <c r="F152" s="55" t="s">
        <v>94</v>
      </c>
      <c r="G152" s="55" t="s">
        <v>76</v>
      </c>
      <c r="H152" s="55" t="s">
        <v>57</v>
      </c>
      <c r="I152" s="55" t="s">
        <v>58</v>
      </c>
    </row>
    <row r="153" spans="1:9" x14ac:dyDescent="0.35">
      <c r="A153" s="56">
        <f>E5</f>
        <v>10392</v>
      </c>
      <c r="B153" s="57">
        <f>F5</f>
        <v>46265</v>
      </c>
      <c r="C153" s="56" t="s">
        <v>78</v>
      </c>
      <c r="D153" s="58">
        <f>H5</f>
        <v>0.81330000000000002</v>
      </c>
      <c r="F153" s="56">
        <f>A153</f>
        <v>10392</v>
      </c>
      <c r="G153" s="59">
        <f>L5</f>
        <v>61762</v>
      </c>
      <c r="H153" s="59">
        <f t="shared" ref="H153:I153" si="22">M5</f>
        <v>10985</v>
      </c>
      <c r="I153" s="59">
        <f t="shared" si="22"/>
        <v>389</v>
      </c>
    </row>
    <row r="154" spans="1:9" x14ac:dyDescent="0.35">
      <c r="A154" s="56">
        <f>E9</f>
        <v>10397</v>
      </c>
      <c r="B154" s="57">
        <f>F9</f>
        <v>46267</v>
      </c>
      <c r="C154" s="56" t="s">
        <v>78</v>
      </c>
      <c r="D154" s="58">
        <f>H9</f>
        <v>0.58650000000000002</v>
      </c>
      <c r="F154" s="56">
        <f t="shared" ref="F154:F160" si="23">A154</f>
        <v>10397</v>
      </c>
      <c r="G154" s="59">
        <f>L9</f>
        <v>67488</v>
      </c>
      <c r="H154" s="59">
        <f t="shared" ref="H154:I154" si="24">M9</f>
        <v>12371</v>
      </c>
      <c r="I154" s="59">
        <f t="shared" si="24"/>
        <v>312</v>
      </c>
    </row>
    <row r="155" spans="1:9" x14ac:dyDescent="0.35">
      <c r="A155" s="56">
        <f>E10</f>
        <v>10398</v>
      </c>
      <c r="B155" s="57">
        <f>F10</f>
        <v>46267</v>
      </c>
      <c r="C155" s="56" t="s">
        <v>78</v>
      </c>
      <c r="D155" s="58">
        <f>H10</f>
        <v>0.65059999999999996</v>
      </c>
      <c r="F155" s="56">
        <f t="shared" si="23"/>
        <v>10398</v>
      </c>
      <c r="G155" s="59">
        <f>L10</f>
        <v>54833</v>
      </c>
      <c r="H155" s="59">
        <f t="shared" ref="H155:I155" si="25">M10</f>
        <v>9962</v>
      </c>
      <c r="I155" s="59">
        <f t="shared" si="25"/>
        <v>292</v>
      </c>
    </row>
    <row r="156" spans="1:9" x14ac:dyDescent="0.35">
      <c r="A156" s="56">
        <f>E12</f>
        <v>10183</v>
      </c>
      <c r="B156" s="57">
        <f>F12</f>
        <v>46268</v>
      </c>
      <c r="C156" s="56" t="s">
        <v>78</v>
      </c>
      <c r="D156" s="58">
        <f>H12</f>
        <v>0.49020000000000002</v>
      </c>
      <c r="F156" s="56">
        <f t="shared" si="23"/>
        <v>10183</v>
      </c>
      <c r="G156" s="59">
        <f>L12</f>
        <v>17306</v>
      </c>
      <c r="H156" s="59">
        <f t="shared" ref="H156:I156" si="26">M12</f>
        <v>5495</v>
      </c>
      <c r="I156" s="59">
        <f t="shared" si="26"/>
        <v>100</v>
      </c>
    </row>
    <row r="157" spans="1:9" x14ac:dyDescent="0.35">
      <c r="A157" s="56">
        <f>E25</f>
        <v>10414</v>
      </c>
      <c r="B157" s="57">
        <f>F25</f>
        <v>46274</v>
      </c>
      <c r="C157" s="56" t="s">
        <v>78</v>
      </c>
      <c r="D157" s="58">
        <f>H25</f>
        <v>0.6089</v>
      </c>
      <c r="F157" s="56">
        <f t="shared" si="23"/>
        <v>10414</v>
      </c>
      <c r="G157" s="59">
        <f>L25</f>
        <v>74673</v>
      </c>
      <c r="H157" s="59">
        <f t="shared" ref="H157:I157" si="27">M25</f>
        <v>8678</v>
      </c>
      <c r="I157" s="59">
        <f t="shared" si="27"/>
        <v>198</v>
      </c>
    </row>
    <row r="158" spans="1:9" x14ac:dyDescent="0.35">
      <c r="A158" s="56">
        <f>E26</f>
        <v>10415</v>
      </c>
      <c r="B158" s="57">
        <f>F26</f>
        <v>46274</v>
      </c>
      <c r="C158" s="56" t="s">
        <v>78</v>
      </c>
      <c r="D158" s="58">
        <f>H26</f>
        <v>0.60870000000000002</v>
      </c>
      <c r="F158" s="56">
        <f t="shared" si="23"/>
        <v>10415</v>
      </c>
      <c r="G158" s="59">
        <f>L26</f>
        <v>52266</v>
      </c>
      <c r="H158" s="59">
        <f t="shared" ref="H158:I158" si="28">M26</f>
        <v>7104</v>
      </c>
      <c r="I158" s="59">
        <f t="shared" si="28"/>
        <v>90</v>
      </c>
    </row>
    <row r="159" spans="1:9" x14ac:dyDescent="0.35">
      <c r="A159" s="56"/>
      <c r="B159" s="57"/>
      <c r="C159" s="56" t="s">
        <v>78</v>
      </c>
      <c r="D159" s="58"/>
      <c r="F159" s="56">
        <f t="shared" si="23"/>
        <v>0</v>
      </c>
      <c r="G159" s="59"/>
      <c r="H159" s="59"/>
      <c r="I159" s="59"/>
    </row>
    <row r="160" spans="1:9" x14ac:dyDescent="0.35">
      <c r="A160" s="56"/>
      <c r="B160" s="57"/>
      <c r="C160" s="56" t="s">
        <v>78</v>
      </c>
      <c r="D160" s="58"/>
      <c r="F160" s="56">
        <f t="shared" si="23"/>
        <v>0</v>
      </c>
      <c r="G160" s="59"/>
      <c r="H160" s="59"/>
      <c r="I160" s="59"/>
    </row>
    <row r="161" spans="1:9" x14ac:dyDescent="0.35">
      <c r="A161" s="56"/>
      <c r="B161" s="57"/>
      <c r="C161" s="56" t="s">
        <v>78</v>
      </c>
      <c r="D161" s="58"/>
      <c r="F161" s="56"/>
      <c r="G161" s="59"/>
      <c r="H161" s="59"/>
      <c r="I161" s="59"/>
    </row>
    <row r="162" spans="1:9" x14ac:dyDescent="0.35">
      <c r="A162" s="56"/>
      <c r="B162" s="57"/>
      <c r="C162" s="56" t="s">
        <v>78</v>
      </c>
      <c r="D162" s="58"/>
      <c r="F162" s="56"/>
      <c r="G162" s="59"/>
      <c r="H162" s="59"/>
      <c r="I162" s="59"/>
    </row>
    <row r="163" spans="1:9" x14ac:dyDescent="0.35">
      <c r="A163" s="56"/>
      <c r="B163" s="57"/>
      <c r="C163" s="56" t="s">
        <v>78</v>
      </c>
      <c r="D163" s="58"/>
      <c r="F163" s="56"/>
      <c r="G163" s="59"/>
      <c r="H163" s="59"/>
      <c r="I163" s="59"/>
    </row>
    <row r="171" spans="1:9" ht="18.5" x14ac:dyDescent="0.45">
      <c r="A171" s="104" t="s">
        <v>81</v>
      </c>
      <c r="B171" s="104"/>
      <c r="C171" s="104"/>
      <c r="D171" s="104"/>
      <c r="E171" s="104"/>
      <c r="F171" s="104"/>
      <c r="G171" s="104"/>
      <c r="H171" s="104"/>
      <c r="I171" s="104"/>
    </row>
    <row r="172" spans="1:9" x14ac:dyDescent="0.35">
      <c r="A172" s="55" t="s">
        <v>94</v>
      </c>
      <c r="B172" s="55" t="s">
        <v>9</v>
      </c>
      <c r="C172" s="55" t="s">
        <v>70</v>
      </c>
      <c r="D172" s="55" t="s">
        <v>95</v>
      </c>
      <c r="F172" s="55" t="s">
        <v>94</v>
      </c>
      <c r="G172" s="55" t="s">
        <v>76</v>
      </c>
      <c r="H172" s="55" t="s">
        <v>57</v>
      </c>
      <c r="I172" s="55" t="s">
        <v>58</v>
      </c>
    </row>
    <row r="173" spans="1:9" x14ac:dyDescent="0.35">
      <c r="A173" s="56">
        <f>E7</f>
        <v>10395</v>
      </c>
      <c r="B173" s="57">
        <f>F7</f>
        <v>46266</v>
      </c>
      <c r="C173" s="56" t="s">
        <v>81</v>
      </c>
      <c r="D173" s="58">
        <f>H7</f>
        <v>0.61070000000000002</v>
      </c>
      <c r="F173" s="56">
        <f>A173</f>
        <v>10395</v>
      </c>
      <c r="G173" s="59">
        <f>L7</f>
        <v>101088</v>
      </c>
      <c r="H173" s="59">
        <f t="shared" ref="H173:I173" si="29">M7</f>
        <v>14809</v>
      </c>
      <c r="I173" s="59">
        <f t="shared" si="29"/>
        <v>384</v>
      </c>
    </row>
    <row r="174" spans="1:9" x14ac:dyDescent="0.35">
      <c r="A174" s="56">
        <f>E8</f>
        <v>10396</v>
      </c>
      <c r="B174" s="57">
        <f>F8</f>
        <v>46266</v>
      </c>
      <c r="C174" s="56" t="s">
        <v>81</v>
      </c>
      <c r="D174" s="58">
        <f>H8</f>
        <v>0.64349999999999996</v>
      </c>
      <c r="F174" s="56">
        <f>A174</f>
        <v>10396</v>
      </c>
      <c r="G174" s="59">
        <f>L8</f>
        <v>103527</v>
      </c>
      <c r="H174" s="59">
        <f t="shared" ref="H174:I174" si="30">M8</f>
        <v>12863</v>
      </c>
      <c r="I174" s="59">
        <f t="shared" si="30"/>
        <v>331</v>
      </c>
    </row>
    <row r="175" spans="1:9" x14ac:dyDescent="0.35">
      <c r="A175" s="56">
        <f>E23</f>
        <v>10412</v>
      </c>
      <c r="B175" s="57">
        <f>F23</f>
        <v>46273</v>
      </c>
      <c r="C175" s="56" t="s">
        <v>81</v>
      </c>
      <c r="D175" s="58">
        <f>H23</f>
        <v>0.52659999999999996</v>
      </c>
      <c r="F175" s="56">
        <f>A175</f>
        <v>10412</v>
      </c>
      <c r="G175" s="59">
        <f>L23</f>
        <v>72243</v>
      </c>
      <c r="H175" s="59">
        <f t="shared" ref="H175:I175" si="31">M23</f>
        <v>8769</v>
      </c>
      <c r="I175" s="59">
        <f t="shared" si="31"/>
        <v>173</v>
      </c>
    </row>
    <row r="176" spans="1:9" x14ac:dyDescent="0.35">
      <c r="A176" s="56">
        <f>E24</f>
        <v>10413</v>
      </c>
      <c r="B176" s="57">
        <f>F24</f>
        <v>46273</v>
      </c>
      <c r="C176" s="56" t="s">
        <v>81</v>
      </c>
      <c r="D176" s="58">
        <f>H24</f>
        <v>0.57210000000000005</v>
      </c>
      <c r="F176" s="56">
        <f>A176</f>
        <v>10413</v>
      </c>
      <c r="G176" s="59">
        <f>L24</f>
        <v>62770</v>
      </c>
      <c r="H176" s="59">
        <f t="shared" ref="H176:I176" si="32">M24</f>
        <v>6877</v>
      </c>
      <c r="I176" s="59">
        <f t="shared" si="32"/>
        <v>73</v>
      </c>
    </row>
    <row r="177" spans="1:9" x14ac:dyDescent="0.35">
      <c r="A177" s="56"/>
      <c r="B177" s="57"/>
      <c r="C177" s="56" t="s">
        <v>81</v>
      </c>
      <c r="D177" s="58"/>
      <c r="F177" s="56"/>
      <c r="G177" s="59"/>
      <c r="H177" s="59"/>
      <c r="I177" s="59"/>
    </row>
    <row r="178" spans="1:9" x14ac:dyDescent="0.35">
      <c r="A178" s="56"/>
      <c r="B178" s="57"/>
      <c r="C178" s="56" t="s">
        <v>81</v>
      </c>
      <c r="D178" s="58"/>
      <c r="F178" s="56"/>
      <c r="G178" s="59"/>
      <c r="H178" s="59"/>
      <c r="I178" s="59"/>
    </row>
    <row r="179" spans="1:9" x14ac:dyDescent="0.35">
      <c r="A179" s="56"/>
      <c r="B179" s="57"/>
      <c r="C179" s="56" t="s">
        <v>81</v>
      </c>
      <c r="D179" s="58"/>
      <c r="F179" s="56"/>
      <c r="G179" s="59"/>
      <c r="H179" s="59"/>
      <c r="I179" s="59"/>
    </row>
    <row r="180" spans="1:9" x14ac:dyDescent="0.35">
      <c r="A180" s="56"/>
      <c r="B180" s="57"/>
      <c r="C180" s="56" t="s">
        <v>81</v>
      </c>
      <c r="D180" s="58"/>
      <c r="F180" s="56"/>
      <c r="G180" s="59"/>
      <c r="H180" s="59"/>
      <c r="I180" s="59"/>
    </row>
  </sheetData>
  <mergeCells count="27">
    <mergeCell ref="A1:E1"/>
    <mergeCell ref="A3:C3"/>
    <mergeCell ref="K3:N3"/>
    <mergeCell ref="R8:U8"/>
    <mergeCell ref="E2:I2"/>
    <mergeCell ref="R9:U9"/>
    <mergeCell ref="E18:H18"/>
    <mergeCell ref="A19:C19"/>
    <mergeCell ref="R28:U28"/>
    <mergeCell ref="R29:U29"/>
    <mergeCell ref="E34:H34"/>
    <mergeCell ref="A35:C35"/>
    <mergeCell ref="R48:U48"/>
    <mergeCell ref="R49:U49"/>
    <mergeCell ref="E50:H50"/>
    <mergeCell ref="A131:I131"/>
    <mergeCell ref="A151:I151"/>
    <mergeCell ref="A171:I171"/>
    <mergeCell ref="A51:C51"/>
    <mergeCell ref="A88:I88"/>
    <mergeCell ref="A89:U89"/>
    <mergeCell ref="A91:I91"/>
    <mergeCell ref="A111:I111"/>
    <mergeCell ref="E68:H68"/>
    <mergeCell ref="A69:C69"/>
    <mergeCell ref="R65:U65"/>
    <mergeCell ref="R66:U66"/>
  </mergeCells>
  <dataValidations count="1">
    <dataValidation type="list" allowBlank="1" sqref="G53:G61 G71:G79 G21:G29 G5:G14 G37:G45" xr:uid="{00000000-0002-0000-0100-000000000000}">
      <formula1>"Porto,Bradesco,Santander,Goiânia,Curitiba"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0791-67F6-4E65-A6FB-4109474B0E20}">
  <sheetPr>
    <tabColor rgb="FFFF0000"/>
  </sheetPr>
  <dimension ref="A1:AG98"/>
  <sheetViews>
    <sheetView topLeftCell="K58" workbookViewId="0">
      <selection activeCell="W80" sqref="W80"/>
    </sheetView>
  </sheetViews>
  <sheetFormatPr defaultRowHeight="14.5" x14ac:dyDescent="0.35"/>
  <cols>
    <col min="2" max="2" width="10.81640625" customWidth="1"/>
    <col min="5" max="5" width="10.81640625" customWidth="1"/>
    <col min="6" max="6" width="11.7265625" customWidth="1"/>
    <col min="7" max="7" width="7.1796875" bestFit="1" customWidth="1"/>
    <col min="8" max="8" width="15.26953125" customWidth="1"/>
    <col min="9" max="9" width="3.453125" customWidth="1"/>
    <col min="10" max="10" width="7.81640625" customWidth="1"/>
    <col min="11" max="11" width="12.7265625" customWidth="1"/>
    <col min="12" max="12" width="8.7265625" customWidth="1"/>
    <col min="13" max="13" width="2.81640625" customWidth="1"/>
    <col min="14" max="14" width="14.1796875" bestFit="1" customWidth="1"/>
    <col min="16" max="16" width="13.1796875" bestFit="1" customWidth="1"/>
    <col min="17" max="17" width="8.81640625" customWidth="1"/>
    <col min="18" max="18" width="12" bestFit="1" customWidth="1"/>
    <col min="19" max="19" width="10" bestFit="1" customWidth="1"/>
    <col min="20" max="20" width="9.453125" customWidth="1"/>
    <col min="21" max="21" width="14.1796875" bestFit="1" customWidth="1"/>
    <col min="23" max="23" width="9.453125" bestFit="1" customWidth="1"/>
    <col min="24" max="24" width="14.1796875" bestFit="1" customWidth="1"/>
    <col min="25" max="25" width="11.54296875" bestFit="1" customWidth="1"/>
    <col min="26" max="26" width="10.453125" bestFit="1" customWidth="1"/>
    <col min="28" max="28" width="8" bestFit="1" customWidth="1"/>
    <col min="29" max="29" width="10" bestFit="1" customWidth="1"/>
    <col min="30" max="30" width="11.36328125" customWidth="1"/>
    <col min="31" max="31" width="12.26953125" customWidth="1"/>
  </cols>
  <sheetData>
    <row r="1" spans="1:33" x14ac:dyDescent="0.35">
      <c r="A1" s="102" t="s">
        <v>96</v>
      </c>
      <c r="B1" s="102"/>
      <c r="C1" s="102"/>
    </row>
    <row r="3" spans="1:33" x14ac:dyDescent="0.35">
      <c r="A3" s="110" t="s">
        <v>97</v>
      </c>
      <c r="B3" s="110"/>
      <c r="C3" s="110"/>
      <c r="D3" s="110"/>
      <c r="E3" s="110"/>
      <c r="F3" s="110"/>
      <c r="G3" s="110"/>
      <c r="H3" s="110"/>
      <c r="I3" s="110"/>
      <c r="J3" s="110"/>
      <c r="K3" s="65"/>
      <c r="L3" s="65"/>
      <c r="M3" s="65"/>
      <c r="N3" s="65" t="s">
        <v>98</v>
      </c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"/>
      <c r="AC3" s="6"/>
      <c r="AD3" s="6"/>
      <c r="AE3" s="6"/>
      <c r="AF3" s="6"/>
      <c r="AG3" s="6"/>
    </row>
    <row r="4" spans="1:33" x14ac:dyDescent="0.35">
      <c r="A4" s="109" t="s">
        <v>99</v>
      </c>
      <c r="B4" s="109"/>
      <c r="C4" s="109"/>
      <c r="D4" s="109"/>
      <c r="E4" s="109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96" t="s">
        <v>35</v>
      </c>
      <c r="S4" s="96"/>
      <c r="T4" s="96"/>
      <c r="U4" s="96"/>
      <c r="V4" s="96"/>
      <c r="W4" s="96"/>
      <c r="X4" s="96"/>
      <c r="Y4" s="96"/>
      <c r="Z4" s="96"/>
      <c r="AA4" s="6"/>
      <c r="AB4" s="6"/>
      <c r="AC4" s="6"/>
      <c r="AD4" s="6"/>
      <c r="AE4" s="6"/>
      <c r="AF4" s="6"/>
      <c r="AG4" s="6"/>
    </row>
    <row r="5" spans="1:33" x14ac:dyDescent="0.35">
      <c r="A5" s="96" t="s">
        <v>35</v>
      </c>
      <c r="B5" s="96"/>
      <c r="C5" s="96"/>
      <c r="D5" s="96"/>
      <c r="E5" s="96"/>
      <c r="F5" s="6"/>
      <c r="G5" s="6"/>
      <c r="H5" s="6"/>
      <c r="I5" s="6"/>
      <c r="J5" s="6"/>
      <c r="K5" s="6"/>
      <c r="L5" s="6"/>
      <c r="M5" s="6"/>
      <c r="N5" s="52" t="s">
        <v>67</v>
      </c>
      <c r="O5" s="52"/>
      <c r="P5" s="52"/>
      <c r="Q5" s="6"/>
      <c r="R5" s="2" t="s">
        <v>68</v>
      </c>
      <c r="S5" s="2"/>
      <c r="T5" s="2"/>
      <c r="U5" s="2"/>
      <c r="V5" s="6"/>
      <c r="W5" s="52" t="s">
        <v>69</v>
      </c>
      <c r="X5" s="52"/>
      <c r="Y5" s="52"/>
      <c r="Z5" s="52"/>
      <c r="AA5" s="6"/>
      <c r="AB5" s="6"/>
      <c r="AC5" s="6"/>
      <c r="AD5" s="6"/>
      <c r="AE5" s="6"/>
      <c r="AF5" s="6"/>
      <c r="AG5" s="6"/>
    </row>
    <row r="6" spans="1:33" ht="17.5" customHeight="1" x14ac:dyDescent="0.35">
      <c r="A6" s="10" t="s">
        <v>13</v>
      </c>
      <c r="B6" s="10" t="s">
        <v>10</v>
      </c>
      <c r="C6" s="6"/>
      <c r="D6" s="10" t="s">
        <v>13</v>
      </c>
      <c r="E6" s="10" t="s">
        <v>11</v>
      </c>
      <c r="F6" s="6"/>
      <c r="G6" s="6"/>
      <c r="H6" s="6"/>
      <c r="I6" s="6"/>
      <c r="J6" s="6"/>
      <c r="K6" s="6"/>
      <c r="L6" s="6"/>
      <c r="M6" s="6"/>
      <c r="N6" s="10" t="s">
        <v>70</v>
      </c>
      <c r="O6" s="10" t="s">
        <v>71</v>
      </c>
      <c r="P6" s="10" t="s">
        <v>72</v>
      </c>
      <c r="Q6" s="6"/>
      <c r="R6" s="36" t="s">
        <v>73</v>
      </c>
      <c r="S6" s="36" t="s">
        <v>9</v>
      </c>
      <c r="T6" s="36" t="s">
        <v>70</v>
      </c>
      <c r="U6" s="36" t="s">
        <v>74</v>
      </c>
      <c r="V6" s="6"/>
      <c r="W6" s="10" t="s">
        <v>75</v>
      </c>
      <c r="X6" s="10" t="s">
        <v>76</v>
      </c>
      <c r="Y6" s="10" t="s">
        <v>57</v>
      </c>
      <c r="Z6" s="10" t="s">
        <v>58</v>
      </c>
      <c r="AA6" s="6"/>
      <c r="AB6" s="6"/>
      <c r="AC6" s="6"/>
      <c r="AD6" s="6"/>
      <c r="AE6" s="6"/>
      <c r="AF6" s="6"/>
      <c r="AG6" s="6"/>
    </row>
    <row r="7" spans="1:33" x14ac:dyDescent="0.35">
      <c r="A7" s="13" t="s">
        <v>15</v>
      </c>
      <c r="B7" s="14">
        <v>1231</v>
      </c>
      <c r="C7" s="6"/>
      <c r="D7" s="13" t="s">
        <v>15</v>
      </c>
      <c r="E7" s="14">
        <v>1231</v>
      </c>
      <c r="F7" s="6"/>
      <c r="G7" s="6"/>
      <c r="H7" s="6"/>
      <c r="I7" s="6"/>
      <c r="J7" s="6"/>
      <c r="K7" s="6"/>
      <c r="L7" s="6"/>
      <c r="M7" s="6"/>
      <c r="N7" s="20" t="s">
        <v>77</v>
      </c>
      <c r="O7" s="37">
        <f t="shared" ref="O7:O9" si="0">COUNTIF($T$7:$T$17,N7)</f>
        <v>1</v>
      </c>
      <c r="P7" s="38">
        <f>U9</f>
        <v>0.72289999999999999</v>
      </c>
      <c r="Q7" s="6"/>
      <c r="R7" s="39">
        <v>10390</v>
      </c>
      <c r="S7" s="40">
        <v>46265</v>
      </c>
      <c r="T7" s="41" t="s">
        <v>100</v>
      </c>
      <c r="U7" s="42">
        <v>0.59240000000000004</v>
      </c>
      <c r="V7" s="6"/>
      <c r="W7" s="39">
        <v>10390</v>
      </c>
      <c r="X7" s="14">
        <v>153019</v>
      </c>
      <c r="Y7" s="14">
        <v>19836</v>
      </c>
      <c r="Z7" s="14">
        <v>620</v>
      </c>
      <c r="AA7" s="6"/>
      <c r="AB7" s="6"/>
      <c r="AC7" s="6"/>
      <c r="AD7" s="6"/>
      <c r="AE7" s="6"/>
      <c r="AF7" s="6"/>
      <c r="AG7" s="6"/>
    </row>
    <row r="8" spans="1:33" x14ac:dyDescent="0.35">
      <c r="A8" s="20" t="s">
        <v>17</v>
      </c>
      <c r="B8" s="14">
        <v>185</v>
      </c>
      <c r="C8" s="6"/>
      <c r="D8" s="20" t="s">
        <v>17</v>
      </c>
      <c r="E8" s="21">
        <v>185</v>
      </c>
      <c r="F8" s="6"/>
      <c r="G8" s="6"/>
      <c r="H8" s="6"/>
      <c r="I8" s="6"/>
      <c r="J8" s="6"/>
      <c r="K8" s="6"/>
      <c r="L8" s="6"/>
      <c r="M8" s="6"/>
      <c r="N8" s="20" t="s">
        <v>101</v>
      </c>
      <c r="O8" s="37">
        <f t="shared" si="0"/>
        <v>5</v>
      </c>
      <c r="P8" s="38">
        <f>AVERAGE(U8+U11+U14+U15+U16)</f>
        <v>2.5746000000000002</v>
      </c>
      <c r="Q8" s="6"/>
      <c r="R8" s="39">
        <v>10391</v>
      </c>
      <c r="S8" s="40">
        <v>46265</v>
      </c>
      <c r="T8" s="41" t="s">
        <v>101</v>
      </c>
      <c r="U8" s="42">
        <v>0.73550000000000004</v>
      </c>
      <c r="V8" s="6"/>
      <c r="W8" s="39">
        <v>10391</v>
      </c>
      <c r="X8" s="14">
        <v>82499</v>
      </c>
      <c r="Y8" s="14">
        <v>13764</v>
      </c>
      <c r="Z8" s="14">
        <v>312</v>
      </c>
      <c r="AA8" s="6"/>
      <c r="AB8" s="6"/>
      <c r="AC8" s="6"/>
      <c r="AD8" s="6"/>
      <c r="AE8" s="6"/>
      <c r="AF8" s="6"/>
      <c r="AG8" s="6"/>
    </row>
    <row r="9" spans="1:33" ht="14.5" customHeight="1" x14ac:dyDescent="0.35">
      <c r="A9" s="20" t="s">
        <v>19</v>
      </c>
      <c r="B9" s="14">
        <v>231</v>
      </c>
      <c r="C9" s="6"/>
      <c r="D9" s="20" t="s">
        <v>19</v>
      </c>
      <c r="E9" s="21">
        <v>231</v>
      </c>
      <c r="F9" s="6"/>
      <c r="G9" s="6"/>
      <c r="H9" s="6"/>
      <c r="I9" s="6"/>
      <c r="J9" s="6"/>
      <c r="K9" s="6"/>
      <c r="L9" s="6"/>
      <c r="M9" s="6"/>
      <c r="N9" s="20" t="s">
        <v>100</v>
      </c>
      <c r="O9" s="37">
        <f t="shared" si="0"/>
        <v>4</v>
      </c>
      <c r="P9" s="38">
        <f>AVERAGE(U7+U10+U12+U13)</f>
        <v>2.8613</v>
      </c>
      <c r="Q9" s="6"/>
      <c r="R9" s="39">
        <v>10394</v>
      </c>
      <c r="S9" s="40">
        <v>46266</v>
      </c>
      <c r="T9" s="41" t="s">
        <v>77</v>
      </c>
      <c r="U9" s="42">
        <v>0.72289999999999999</v>
      </c>
      <c r="V9" s="6"/>
      <c r="W9" s="39">
        <v>10394</v>
      </c>
      <c r="X9" s="21">
        <v>80326</v>
      </c>
      <c r="Y9" s="21">
        <v>15039</v>
      </c>
      <c r="Z9" s="21">
        <v>387</v>
      </c>
      <c r="AA9" s="6"/>
      <c r="AB9" s="6"/>
      <c r="AC9" s="6"/>
      <c r="AD9" s="6"/>
      <c r="AE9" s="6"/>
      <c r="AF9" s="6"/>
      <c r="AG9" s="6"/>
    </row>
    <row r="10" spans="1:33" x14ac:dyDescent="0.35">
      <c r="A10" s="20" t="s">
        <v>102</v>
      </c>
      <c r="B10" s="14">
        <v>22</v>
      </c>
      <c r="C10" s="6"/>
      <c r="D10" s="20" t="s">
        <v>102</v>
      </c>
      <c r="E10" s="14">
        <v>22</v>
      </c>
      <c r="F10" s="6"/>
      <c r="G10" s="6"/>
      <c r="H10" s="6"/>
      <c r="I10" s="6"/>
      <c r="J10" s="6"/>
      <c r="K10" s="6"/>
      <c r="L10" s="6"/>
      <c r="M10" s="6"/>
      <c r="N10" s="20" t="s">
        <v>103</v>
      </c>
      <c r="O10" s="37">
        <f>COUNTIF($T$7:$T$17,N10)</f>
        <v>1</v>
      </c>
      <c r="P10" s="38">
        <f>U17</f>
        <v>0.62619999999999998</v>
      </c>
      <c r="Q10" s="6"/>
      <c r="R10" s="39">
        <v>10400</v>
      </c>
      <c r="S10" s="40">
        <v>46267</v>
      </c>
      <c r="T10" s="41" t="s">
        <v>100</v>
      </c>
      <c r="U10" s="42">
        <v>0.82789999999999997</v>
      </c>
      <c r="V10" s="6"/>
      <c r="W10" s="39">
        <v>10400</v>
      </c>
      <c r="X10" s="14">
        <v>118073</v>
      </c>
      <c r="Y10" s="14">
        <v>17185</v>
      </c>
      <c r="Z10" s="14">
        <v>360</v>
      </c>
      <c r="AA10" s="6"/>
      <c r="AB10" s="6"/>
      <c r="AC10" s="6"/>
      <c r="AD10" s="6"/>
      <c r="AE10" s="6"/>
      <c r="AF10" s="6"/>
      <c r="AG10" s="6"/>
    </row>
    <row r="11" spans="1:33" x14ac:dyDescent="0.35">
      <c r="B11" s="66">
        <f>SUMPRODUCT(B7:B10)</f>
        <v>1669</v>
      </c>
      <c r="C11" s="6"/>
      <c r="D11" s="6"/>
      <c r="E11" s="66">
        <f>SUMPRODUCT(E7:E10)</f>
        <v>1669</v>
      </c>
      <c r="F11" s="6"/>
      <c r="G11" s="6"/>
      <c r="H11" s="6"/>
      <c r="I11" s="6"/>
      <c r="J11" s="6"/>
      <c r="K11" s="6"/>
      <c r="L11" s="6"/>
      <c r="M11" s="6"/>
      <c r="N11" s="22" t="s">
        <v>36</v>
      </c>
      <c r="O11" s="23">
        <f>SUM(O7:O10)</f>
        <v>11</v>
      </c>
      <c r="P11" s="44">
        <f>AVERAGE(P7:P9)</f>
        <v>2.0529333333333333</v>
      </c>
      <c r="Q11" s="6"/>
      <c r="R11" s="39">
        <v>10401</v>
      </c>
      <c r="S11" s="40">
        <v>46267</v>
      </c>
      <c r="T11" s="41" t="s">
        <v>101</v>
      </c>
      <c r="U11" s="42">
        <v>0.33479999999999999</v>
      </c>
      <c r="V11" s="6"/>
      <c r="W11" s="39">
        <v>10401</v>
      </c>
      <c r="X11" s="14">
        <v>53861</v>
      </c>
      <c r="Y11" s="14">
        <v>12855</v>
      </c>
      <c r="Z11" s="14">
        <v>529</v>
      </c>
      <c r="AA11" s="6"/>
      <c r="AB11" s="6"/>
      <c r="AC11" s="6"/>
      <c r="AD11" s="6"/>
      <c r="AE11" s="6"/>
      <c r="AF11" s="6"/>
      <c r="AG11" s="6"/>
    </row>
    <row r="12" spans="1:33" x14ac:dyDescent="0.35">
      <c r="A12" s="6"/>
      <c r="C12" s="6"/>
      <c r="D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39">
        <v>10402</v>
      </c>
      <c r="S12" s="40">
        <v>46268</v>
      </c>
      <c r="T12" s="41" t="s">
        <v>100</v>
      </c>
      <c r="U12" s="42">
        <v>0.70550000000000002</v>
      </c>
      <c r="V12" s="6"/>
      <c r="W12" s="39">
        <v>10402</v>
      </c>
      <c r="X12" s="14">
        <v>128374</v>
      </c>
      <c r="Y12" s="14">
        <v>15655</v>
      </c>
      <c r="Z12" s="14">
        <v>366</v>
      </c>
      <c r="AA12" s="6"/>
      <c r="AB12" s="6"/>
      <c r="AC12" s="6"/>
      <c r="AD12" s="6"/>
      <c r="AE12" s="6"/>
      <c r="AF12" s="6"/>
      <c r="AG12" s="6"/>
    </row>
    <row r="13" spans="1:33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39">
        <v>10403</v>
      </c>
      <c r="S13" s="40">
        <v>46268</v>
      </c>
      <c r="T13" s="41" t="s">
        <v>100</v>
      </c>
      <c r="U13" s="42">
        <v>0.73550000000000004</v>
      </c>
      <c r="V13" s="6"/>
      <c r="W13" s="39">
        <v>10403</v>
      </c>
      <c r="X13" s="14">
        <v>78599</v>
      </c>
      <c r="Y13" s="14">
        <v>10510</v>
      </c>
      <c r="Z13" s="14">
        <v>193</v>
      </c>
      <c r="AA13" s="6"/>
      <c r="AB13" s="6"/>
      <c r="AC13" s="6"/>
      <c r="AD13" s="6"/>
      <c r="AE13" s="6"/>
      <c r="AF13" s="6"/>
      <c r="AG13" s="6"/>
    </row>
    <row r="14" spans="1:33" x14ac:dyDescent="0.35">
      <c r="A14" s="6"/>
      <c r="B14" s="6"/>
      <c r="C14" s="6"/>
      <c r="D14" s="6"/>
      <c r="E14" s="6"/>
      <c r="F14" s="6"/>
      <c r="G14" s="98" t="s">
        <v>4</v>
      </c>
      <c r="H14" s="98"/>
      <c r="I14" s="6"/>
      <c r="J14" s="1" t="s">
        <v>4</v>
      </c>
      <c r="K14" s="1"/>
      <c r="L14" s="6"/>
      <c r="M14" s="6"/>
      <c r="N14" s="6"/>
      <c r="O14" s="6"/>
      <c r="P14" s="6"/>
      <c r="Q14" s="6"/>
      <c r="R14" s="39">
        <v>10405</v>
      </c>
      <c r="S14" s="40">
        <v>46268</v>
      </c>
      <c r="T14" s="41" t="s">
        <v>101</v>
      </c>
      <c r="U14" s="42">
        <v>0.30399999999999999</v>
      </c>
      <c r="V14" s="6"/>
      <c r="W14" s="39">
        <v>10405</v>
      </c>
      <c r="X14" s="14">
        <v>38838</v>
      </c>
      <c r="Y14" s="14">
        <v>8570</v>
      </c>
      <c r="Z14" s="14">
        <v>436</v>
      </c>
      <c r="AA14" s="6"/>
      <c r="AB14" s="6"/>
      <c r="AC14" s="6"/>
      <c r="AD14" s="6"/>
      <c r="AE14" s="6"/>
      <c r="AF14" s="6"/>
      <c r="AG14" s="6"/>
    </row>
    <row r="15" spans="1:33" x14ac:dyDescent="0.35">
      <c r="A15" s="6"/>
      <c r="B15" s="6"/>
      <c r="C15" s="6"/>
      <c r="D15" s="6"/>
      <c r="E15" s="6"/>
      <c r="F15" s="6"/>
      <c r="G15" s="36" t="s">
        <v>13</v>
      </c>
      <c r="H15" s="36" t="s">
        <v>10</v>
      </c>
      <c r="I15" s="6"/>
      <c r="J15" s="36" t="s">
        <v>13</v>
      </c>
      <c r="K15" s="36" t="s">
        <v>11</v>
      </c>
      <c r="L15" s="6"/>
      <c r="M15" s="6"/>
      <c r="N15" s="6"/>
      <c r="O15" s="6"/>
      <c r="P15" s="6"/>
      <c r="Q15" s="6"/>
      <c r="R15" s="39">
        <v>10406</v>
      </c>
      <c r="S15" s="40">
        <v>46269</v>
      </c>
      <c r="T15" s="41" t="s">
        <v>101</v>
      </c>
      <c r="U15" s="42">
        <v>0.65839999999999999</v>
      </c>
      <c r="V15" s="6"/>
      <c r="W15" s="39">
        <v>10406</v>
      </c>
      <c r="X15" s="14">
        <v>98859</v>
      </c>
      <c r="Y15" s="14">
        <v>10805</v>
      </c>
      <c r="Z15" s="14">
        <v>211</v>
      </c>
      <c r="AA15" s="6"/>
      <c r="AB15" s="6"/>
      <c r="AC15" s="6"/>
      <c r="AD15" s="6"/>
      <c r="AE15" s="6"/>
      <c r="AF15" s="6"/>
      <c r="AG15" s="6"/>
    </row>
    <row r="16" spans="1:33" x14ac:dyDescent="0.35">
      <c r="A16" s="6"/>
      <c r="B16" s="6"/>
      <c r="C16" s="6"/>
      <c r="D16" s="6"/>
      <c r="E16" s="6"/>
      <c r="F16" s="6"/>
      <c r="G16" s="73" t="s">
        <v>15</v>
      </c>
      <c r="H16" s="74">
        <f>IFERROR((B28-B7)/B7,"")</f>
        <v>1.0560519902518278E-2</v>
      </c>
      <c r="I16" s="6"/>
      <c r="J16" s="73" t="s">
        <v>15</v>
      </c>
      <c r="K16" s="74">
        <f>IFERROR((E28-E7)/E7,"")</f>
        <v>-0.11129163281884646</v>
      </c>
      <c r="L16" s="6"/>
      <c r="M16" s="6"/>
      <c r="N16" s="6"/>
      <c r="O16" s="6"/>
      <c r="P16" s="6"/>
      <c r="Q16" s="6"/>
      <c r="R16" s="39">
        <v>10407</v>
      </c>
      <c r="S16" s="40">
        <v>46269</v>
      </c>
      <c r="T16" s="41" t="s">
        <v>101</v>
      </c>
      <c r="U16" s="42">
        <v>0.54190000000000005</v>
      </c>
      <c r="V16" s="6"/>
      <c r="W16" s="39">
        <v>10407</v>
      </c>
      <c r="X16" s="14">
        <v>52182</v>
      </c>
      <c r="Y16" s="14">
        <v>7551</v>
      </c>
      <c r="Z16" s="14">
        <v>87</v>
      </c>
      <c r="AA16" s="6"/>
      <c r="AB16" s="6"/>
      <c r="AC16" s="6"/>
      <c r="AD16" s="6"/>
      <c r="AE16" s="6"/>
      <c r="AF16" s="6"/>
      <c r="AG16" s="6"/>
    </row>
    <row r="17" spans="1:33" x14ac:dyDescent="0.35">
      <c r="A17" s="6"/>
      <c r="B17" s="6"/>
      <c r="C17" s="6"/>
      <c r="D17" s="6"/>
      <c r="E17" s="6"/>
      <c r="F17" s="6"/>
      <c r="G17" s="75" t="s">
        <v>17</v>
      </c>
      <c r="H17" s="76">
        <f>IFERROR((B29-B8)/B8,"")</f>
        <v>4.3243243243243246E-2</v>
      </c>
      <c r="I17" s="6"/>
      <c r="J17" s="75" t="s">
        <v>17</v>
      </c>
      <c r="K17" s="76">
        <f>IFERROR((E29-E8)/E8,"")</f>
        <v>-5.4054054054054057E-3</v>
      </c>
      <c r="L17" s="6"/>
      <c r="M17" s="6"/>
      <c r="N17" s="6"/>
      <c r="O17" s="6"/>
      <c r="P17" s="6"/>
      <c r="Q17" s="6"/>
      <c r="R17" s="39">
        <v>10408</v>
      </c>
      <c r="S17" s="40">
        <v>46269</v>
      </c>
      <c r="T17" s="41" t="s">
        <v>103</v>
      </c>
      <c r="U17" s="42">
        <v>0.62619999999999998</v>
      </c>
      <c r="V17" s="6"/>
      <c r="W17" s="39">
        <v>10408</v>
      </c>
      <c r="X17" s="14">
        <v>77864</v>
      </c>
      <c r="Y17" s="14">
        <v>9553</v>
      </c>
      <c r="Z17" s="14">
        <v>216</v>
      </c>
      <c r="AA17" s="6"/>
      <c r="AB17" s="6"/>
      <c r="AC17" s="6"/>
      <c r="AD17" s="6"/>
      <c r="AE17" s="6"/>
      <c r="AF17" s="6"/>
      <c r="AG17" s="6"/>
    </row>
    <row r="18" spans="1:33" ht="16.5" customHeight="1" x14ac:dyDescent="0.35">
      <c r="A18" s="6"/>
      <c r="B18" s="6"/>
      <c r="C18" s="6"/>
      <c r="D18" s="6"/>
      <c r="E18" s="6"/>
      <c r="F18" s="6"/>
      <c r="G18" s="75" t="s">
        <v>19</v>
      </c>
      <c r="H18" s="76">
        <f>IFERROR((B30-B9)/B9,"")</f>
        <v>-0.17316017316017315</v>
      </c>
      <c r="I18" s="6"/>
      <c r="J18" s="75" t="s">
        <v>19</v>
      </c>
      <c r="K18" s="76">
        <f>IFERROR((E30-E9)/E9,"")</f>
        <v>-0.13852813852813853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49" t="s">
        <v>36</v>
      </c>
      <c r="X18" s="50">
        <f>SUM(X7:X17)</f>
        <v>962494</v>
      </c>
      <c r="Y18" s="50">
        <f>SUM(Y7:Y17)</f>
        <v>141323</v>
      </c>
      <c r="Z18" s="50">
        <f>SUM(Z7:Z17)</f>
        <v>3717</v>
      </c>
      <c r="AA18" s="6"/>
      <c r="AB18" s="6"/>
      <c r="AC18" s="6"/>
      <c r="AD18" s="6"/>
      <c r="AE18" s="6"/>
      <c r="AF18" s="6"/>
      <c r="AG18" s="6"/>
    </row>
    <row r="19" spans="1:33" x14ac:dyDescent="0.35">
      <c r="A19" s="6"/>
      <c r="C19" s="6"/>
      <c r="D19" s="6"/>
      <c r="E19" s="6"/>
      <c r="F19" s="6"/>
      <c r="G19" s="75" t="s">
        <v>102</v>
      </c>
      <c r="H19" s="76">
        <f>IFERROR((B31-B10)/B10,"")</f>
        <v>0.5</v>
      </c>
      <c r="I19" s="6"/>
      <c r="J19" s="75" t="s">
        <v>102</v>
      </c>
      <c r="K19" s="76">
        <f>IFERROR((E31-E10)/E10,"")</f>
        <v>0.18181818181818182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AA19" s="6"/>
      <c r="AB19" s="101" t="s">
        <v>35</v>
      </c>
      <c r="AC19" s="101"/>
      <c r="AD19" s="101"/>
      <c r="AE19" s="101"/>
      <c r="AF19" s="6"/>
      <c r="AG19" s="6"/>
    </row>
    <row r="20" spans="1:33" x14ac:dyDescent="0.35">
      <c r="A20" s="6"/>
      <c r="B20" s="6"/>
      <c r="C20" s="6"/>
      <c r="D20" s="6"/>
      <c r="E20" s="6"/>
      <c r="F20" s="6"/>
      <c r="G20" s="77" t="s">
        <v>104</v>
      </c>
      <c r="H20" s="78">
        <f>IFERROR((B32-B11)/B11,"")</f>
        <v>-4.793289394847214E-3</v>
      </c>
      <c r="J20" s="77" t="s">
        <v>33</v>
      </c>
      <c r="K20" s="78">
        <f>IFERROR((E32-E11)/E11,"")</f>
        <v>-9.9460754943079682E-2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08" t="s">
        <v>82</v>
      </c>
      <c r="AC20" s="108"/>
      <c r="AD20" s="108"/>
      <c r="AE20" s="108"/>
      <c r="AF20" s="6"/>
      <c r="AG20" s="6"/>
    </row>
    <row r="21" spans="1:33" ht="18.5" customHeigh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36" t="s">
        <v>83</v>
      </c>
      <c r="AC21" s="36" t="s">
        <v>76</v>
      </c>
      <c r="AD21" s="36" t="s">
        <v>57</v>
      </c>
      <c r="AE21" s="36" t="s">
        <v>58</v>
      </c>
      <c r="AF21" s="6"/>
      <c r="AG21" s="6"/>
    </row>
    <row r="22" spans="1:33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115" t="s">
        <v>77</v>
      </c>
      <c r="AC22" s="116">
        <f>X28-X7</f>
        <v>-63021</v>
      </c>
      <c r="AD22" s="116">
        <f>Y28-Y7</f>
        <v>-7579</v>
      </c>
      <c r="AE22" s="117">
        <f t="shared" ref="AD22:AE32" si="1">Z28-Z7</f>
        <v>-304</v>
      </c>
      <c r="AF22" s="6"/>
      <c r="AG22" s="6"/>
    </row>
    <row r="23" spans="1:33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15" t="s">
        <v>101</v>
      </c>
      <c r="AC23" s="118">
        <f t="shared" ref="AC23:AC32" si="2">X29-X8</f>
        <v>-45659</v>
      </c>
      <c r="AD23" s="118">
        <f t="shared" ref="AD23:AD32" si="3">Y29-Y8</f>
        <v>-5462</v>
      </c>
      <c r="AE23" s="119">
        <f t="shared" si="1"/>
        <v>-248</v>
      </c>
      <c r="AF23" s="6"/>
      <c r="AG23" s="6"/>
    </row>
    <row r="24" spans="1:33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115" t="s">
        <v>100</v>
      </c>
      <c r="AC24" s="118">
        <f t="shared" si="2"/>
        <v>85212</v>
      </c>
      <c r="AD24" s="118">
        <f t="shared" si="3"/>
        <v>-997</v>
      </c>
      <c r="AE24" s="119">
        <f t="shared" si="1"/>
        <v>-149</v>
      </c>
      <c r="AF24" s="6"/>
      <c r="AG24" s="6"/>
    </row>
    <row r="25" spans="1:33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96" t="s">
        <v>105</v>
      </c>
      <c r="S25" s="96"/>
      <c r="T25" s="96"/>
      <c r="U25" s="96"/>
      <c r="V25" s="96"/>
      <c r="W25" s="96"/>
      <c r="X25" s="96"/>
      <c r="Y25" s="96"/>
      <c r="Z25" s="96"/>
      <c r="AA25" s="6"/>
      <c r="AB25" s="115" t="s">
        <v>100</v>
      </c>
      <c r="AC25" s="118">
        <f t="shared" si="2"/>
        <v>-35387</v>
      </c>
      <c r="AD25" s="118">
        <f t="shared" si="3"/>
        <v>-6867</v>
      </c>
      <c r="AE25" s="119">
        <f t="shared" si="1"/>
        <v>-235</v>
      </c>
      <c r="AF25" s="6"/>
      <c r="AG25" s="6"/>
    </row>
    <row r="26" spans="1:33" x14ac:dyDescent="0.35">
      <c r="A26" s="111" t="s">
        <v>106</v>
      </c>
      <c r="B26" s="111"/>
      <c r="C26" s="111"/>
      <c r="D26" s="111"/>
      <c r="E26" s="111"/>
      <c r="F26" s="6"/>
      <c r="G26" s="6"/>
      <c r="H26" s="6"/>
      <c r="I26" s="6"/>
      <c r="J26" s="6"/>
      <c r="K26" s="6"/>
      <c r="L26" s="6"/>
      <c r="M26" s="6"/>
      <c r="N26" s="52" t="s">
        <v>67</v>
      </c>
      <c r="O26" s="52"/>
      <c r="P26" s="52"/>
      <c r="Q26" s="6"/>
      <c r="R26" s="2" t="s">
        <v>68</v>
      </c>
      <c r="S26" s="2"/>
      <c r="T26" s="2"/>
      <c r="U26" s="2"/>
      <c r="V26" s="6"/>
      <c r="W26" s="52" t="s">
        <v>69</v>
      </c>
      <c r="X26" s="52"/>
      <c r="Y26" s="52"/>
      <c r="Z26" s="52"/>
      <c r="AA26" s="6"/>
      <c r="AB26" s="115" t="s">
        <v>101</v>
      </c>
      <c r="AC26" s="118">
        <f t="shared" si="2"/>
        <v>-13062</v>
      </c>
      <c r="AD26" s="118">
        <f t="shared" si="3"/>
        <v>-5059</v>
      </c>
      <c r="AE26" s="119">
        <f t="shared" si="1"/>
        <v>-473</v>
      </c>
      <c r="AF26" s="6"/>
      <c r="AG26" s="6"/>
    </row>
    <row r="27" spans="1:33" ht="19" customHeight="1" x14ac:dyDescent="0.35">
      <c r="A27" s="10" t="s">
        <v>13</v>
      </c>
      <c r="B27" s="10" t="s">
        <v>10</v>
      </c>
      <c r="C27" s="6"/>
      <c r="D27" s="10" t="s">
        <v>13</v>
      </c>
      <c r="E27" s="10" t="s">
        <v>11</v>
      </c>
      <c r="F27" s="6"/>
      <c r="G27" s="6"/>
      <c r="H27" s="6"/>
      <c r="I27" s="6"/>
      <c r="J27" s="6"/>
      <c r="K27" s="6"/>
      <c r="L27" s="6"/>
      <c r="M27" s="6"/>
      <c r="N27" s="10" t="s">
        <v>70</v>
      </c>
      <c r="O27" s="10" t="s">
        <v>71</v>
      </c>
      <c r="P27" s="10" t="s">
        <v>72</v>
      </c>
      <c r="Q27" s="6"/>
      <c r="R27" s="36" t="s">
        <v>73</v>
      </c>
      <c r="S27" s="36" t="s">
        <v>9</v>
      </c>
      <c r="T27" s="36" t="s">
        <v>70</v>
      </c>
      <c r="U27" s="36" t="s">
        <v>74</v>
      </c>
      <c r="V27" s="6"/>
      <c r="W27" s="10" t="s">
        <v>75</v>
      </c>
      <c r="X27" s="10" t="s">
        <v>76</v>
      </c>
      <c r="Y27" s="10" t="s">
        <v>57</v>
      </c>
      <c r="Z27" s="10" t="s">
        <v>58</v>
      </c>
      <c r="AA27" s="6"/>
      <c r="AB27" s="115" t="s">
        <v>100</v>
      </c>
      <c r="AC27" s="118">
        <f t="shared" si="2"/>
        <v>-54085</v>
      </c>
      <c r="AD27" s="118">
        <f t="shared" si="3"/>
        <v>-4565</v>
      </c>
      <c r="AE27" s="119">
        <f t="shared" si="1"/>
        <v>-116</v>
      </c>
      <c r="AF27" s="6"/>
      <c r="AG27" s="6"/>
    </row>
    <row r="28" spans="1:33" x14ac:dyDescent="0.35">
      <c r="A28" s="13" t="s">
        <v>15</v>
      </c>
      <c r="B28" s="14">
        <v>1244</v>
      </c>
      <c r="C28" s="6"/>
      <c r="D28" s="13" t="s">
        <v>15</v>
      </c>
      <c r="E28" s="14">
        <v>1094</v>
      </c>
      <c r="F28" s="6"/>
      <c r="G28" s="6"/>
      <c r="I28" s="6"/>
      <c r="J28" s="6"/>
      <c r="K28" s="6"/>
      <c r="L28" s="6"/>
      <c r="M28" s="6"/>
      <c r="N28" s="20" t="s">
        <v>77</v>
      </c>
      <c r="O28" s="37">
        <f>COUNTIF($T$28:$T$38,N28)</f>
        <v>1</v>
      </c>
      <c r="P28" s="42">
        <v>0.70589999999999997</v>
      </c>
      <c r="Q28" s="6"/>
      <c r="R28" s="39">
        <v>10411</v>
      </c>
      <c r="S28" s="40">
        <v>46273</v>
      </c>
      <c r="T28" s="41" t="s">
        <v>77</v>
      </c>
      <c r="U28" s="42">
        <v>0.70589999999999997</v>
      </c>
      <c r="V28" s="6"/>
      <c r="W28" s="39">
        <v>10411</v>
      </c>
      <c r="X28" s="21">
        <v>89998</v>
      </c>
      <c r="Y28" s="21">
        <v>12257</v>
      </c>
      <c r="Z28" s="21">
        <v>316</v>
      </c>
      <c r="AA28" s="6"/>
      <c r="AB28" s="115" t="s">
        <v>100</v>
      </c>
      <c r="AC28" s="118">
        <f t="shared" si="2"/>
        <v>15425</v>
      </c>
      <c r="AD28" s="118">
        <f t="shared" si="3"/>
        <v>1124</v>
      </c>
      <c r="AE28" s="119">
        <f t="shared" si="1"/>
        <v>133</v>
      </c>
      <c r="AF28" s="6"/>
      <c r="AG28" s="6"/>
    </row>
    <row r="29" spans="1:33" x14ac:dyDescent="0.35">
      <c r="A29" s="20" t="s">
        <v>17</v>
      </c>
      <c r="B29" s="14">
        <v>193</v>
      </c>
      <c r="C29" s="6"/>
      <c r="D29" s="20" t="s">
        <v>17</v>
      </c>
      <c r="E29" s="14">
        <v>184</v>
      </c>
      <c r="F29" s="6"/>
      <c r="G29" s="6"/>
      <c r="H29" s="6"/>
      <c r="I29" s="6"/>
      <c r="J29" s="6"/>
      <c r="K29" s="6"/>
      <c r="L29" s="6"/>
      <c r="M29" s="6"/>
      <c r="N29" s="20" t="s">
        <v>101</v>
      </c>
      <c r="O29" s="37">
        <f>COUNTIF($T$28:$T$38,N29)</f>
        <v>5</v>
      </c>
      <c r="P29" s="38" cm="1">
        <f t="array" ref="P29">AVERAGE(U29+U32+U35:U36)</f>
        <v>1.2208999999999999</v>
      </c>
      <c r="Q29" s="6"/>
      <c r="R29" s="39">
        <v>10486</v>
      </c>
      <c r="S29" s="40">
        <v>46273</v>
      </c>
      <c r="T29" s="41" t="s">
        <v>101</v>
      </c>
      <c r="U29" s="42">
        <v>0.24709999999999999</v>
      </c>
      <c r="V29" s="6"/>
      <c r="W29" s="39">
        <v>10486</v>
      </c>
      <c r="X29" s="14">
        <v>36840</v>
      </c>
      <c r="Y29" s="14">
        <v>8302</v>
      </c>
      <c r="Z29" s="14">
        <v>64</v>
      </c>
      <c r="AA29" s="6"/>
      <c r="AB29" s="120" t="s">
        <v>101</v>
      </c>
      <c r="AC29" s="118">
        <f t="shared" si="2"/>
        <v>-7621</v>
      </c>
      <c r="AD29" s="118">
        <f t="shared" si="3"/>
        <v>64</v>
      </c>
      <c r="AE29" s="119">
        <f t="shared" si="1"/>
        <v>-272</v>
      </c>
      <c r="AF29" s="6"/>
      <c r="AG29" s="6"/>
    </row>
    <row r="30" spans="1:33" x14ac:dyDescent="0.35">
      <c r="A30" s="20" t="s">
        <v>19</v>
      </c>
      <c r="B30" s="14">
        <v>191</v>
      </c>
      <c r="C30" s="6"/>
      <c r="D30" s="20" t="s">
        <v>19</v>
      </c>
      <c r="E30" s="14">
        <v>199</v>
      </c>
      <c r="F30" s="6"/>
      <c r="G30" s="6"/>
      <c r="H30" s="6"/>
      <c r="J30" s="6"/>
      <c r="K30" s="6"/>
      <c r="L30" s="6"/>
      <c r="M30" s="6"/>
      <c r="N30" s="20" t="s">
        <v>100</v>
      </c>
      <c r="O30" s="37">
        <f>COUNTIF($T$28:$T$38,N30)</f>
        <v>4</v>
      </c>
      <c r="P30" s="38" cm="1">
        <f t="array" ref="P30">AVERAGE(U30+U31+U33:U34)</f>
        <v>1.9936000000000003</v>
      </c>
      <c r="Q30" s="6"/>
      <c r="R30" s="39">
        <v>10410</v>
      </c>
      <c r="S30" s="40">
        <v>46273</v>
      </c>
      <c r="T30" s="41" t="s">
        <v>100</v>
      </c>
      <c r="U30" s="42">
        <v>0.71930000000000005</v>
      </c>
      <c r="V30" s="6"/>
      <c r="W30" s="39">
        <v>10410</v>
      </c>
      <c r="X30" s="14">
        <v>165538</v>
      </c>
      <c r="Y30" s="14">
        <v>14042</v>
      </c>
      <c r="Z30" s="14">
        <v>238</v>
      </c>
      <c r="AA30" s="6"/>
      <c r="AB30" s="115" t="s">
        <v>101</v>
      </c>
      <c r="AC30" s="118">
        <f t="shared" si="2"/>
        <v>-11580</v>
      </c>
      <c r="AD30" s="118">
        <f t="shared" si="3"/>
        <v>309</v>
      </c>
      <c r="AE30" s="119">
        <f t="shared" si="1"/>
        <v>-64</v>
      </c>
      <c r="AF30" s="6"/>
      <c r="AG30" s="6"/>
    </row>
    <row r="31" spans="1:33" x14ac:dyDescent="0.35">
      <c r="A31" s="20" t="s">
        <v>102</v>
      </c>
      <c r="B31" s="14">
        <v>33</v>
      </c>
      <c r="C31" s="6"/>
      <c r="D31" s="20" t="s">
        <v>102</v>
      </c>
      <c r="E31" s="14">
        <v>26</v>
      </c>
      <c r="F31" s="6"/>
      <c r="G31" s="6"/>
      <c r="H31" s="6"/>
      <c r="I31" s="6"/>
      <c r="J31" s="6"/>
      <c r="K31" s="6"/>
      <c r="L31" s="6"/>
      <c r="M31" s="6"/>
      <c r="N31" s="20" t="s">
        <v>103</v>
      </c>
      <c r="O31" s="37">
        <f>COUNTIF($T$28:$T$38,N31)</f>
        <v>1</v>
      </c>
      <c r="P31" s="38">
        <f>U38</f>
        <v>0.60140000000000005</v>
      </c>
      <c r="Q31" s="6"/>
      <c r="R31" s="39">
        <v>10417</v>
      </c>
      <c r="S31" s="40">
        <v>46274</v>
      </c>
      <c r="T31" s="41" t="s">
        <v>100</v>
      </c>
      <c r="U31" s="42">
        <v>0.74439999999999995</v>
      </c>
      <c r="V31" s="6"/>
      <c r="W31" s="39">
        <v>10417</v>
      </c>
      <c r="X31" s="14">
        <v>82686</v>
      </c>
      <c r="Y31" s="14">
        <v>10318</v>
      </c>
      <c r="Z31" s="14">
        <v>125</v>
      </c>
      <c r="AA31" s="6"/>
      <c r="AB31" s="115" t="s">
        <v>101</v>
      </c>
      <c r="AC31" s="118">
        <f t="shared" si="2"/>
        <v>12516</v>
      </c>
      <c r="AD31" s="118">
        <f t="shared" si="3"/>
        <v>817</v>
      </c>
      <c r="AE31" s="119">
        <f t="shared" si="1"/>
        <v>-5</v>
      </c>
      <c r="AF31" s="6"/>
      <c r="AG31" s="6"/>
    </row>
    <row r="32" spans="1:33" x14ac:dyDescent="0.35">
      <c r="B32" s="66">
        <f>SUMPRODUCT(B28:B31)</f>
        <v>1661</v>
      </c>
      <c r="C32" s="6"/>
      <c r="E32" s="66">
        <f>SUMPRODUCT(E28:E31)</f>
        <v>1503</v>
      </c>
      <c r="F32" s="6"/>
      <c r="G32" s="6"/>
      <c r="H32" s="6"/>
      <c r="I32" s="6"/>
      <c r="J32" s="6"/>
      <c r="K32" s="6"/>
      <c r="L32" s="6"/>
      <c r="M32" s="6"/>
      <c r="N32" s="22" t="s">
        <v>36</v>
      </c>
      <c r="O32" s="23">
        <f>SUM(O28:O31)</f>
        <v>11</v>
      </c>
      <c r="P32" s="44">
        <f>AVERAGE(P28:P30)</f>
        <v>1.3068</v>
      </c>
      <c r="Q32" s="6"/>
      <c r="R32" s="39">
        <v>10418</v>
      </c>
      <c r="S32" s="40">
        <v>46274</v>
      </c>
      <c r="T32" s="41" t="s">
        <v>101</v>
      </c>
      <c r="U32" s="42">
        <v>0.43690000000000001</v>
      </c>
      <c r="V32" s="6"/>
      <c r="W32" s="39">
        <v>10418</v>
      </c>
      <c r="X32" s="14">
        <v>40799</v>
      </c>
      <c r="Y32" s="14">
        <v>7796</v>
      </c>
      <c r="Z32" s="14">
        <v>56</v>
      </c>
      <c r="AA32" s="6"/>
      <c r="AB32" s="115" t="s">
        <v>103</v>
      </c>
      <c r="AC32" s="121">
        <f t="shared" si="2"/>
        <v>410</v>
      </c>
      <c r="AD32" s="121">
        <f t="shared" si="3"/>
        <v>-451</v>
      </c>
      <c r="AE32" s="122">
        <f t="shared" si="1"/>
        <v>-79</v>
      </c>
      <c r="AF32" s="6"/>
      <c r="AG32" s="6"/>
    </row>
    <row r="33" spans="1:33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39">
        <v>10419</v>
      </c>
      <c r="S33" s="40">
        <v>46275</v>
      </c>
      <c r="T33" s="41" t="s">
        <v>100</v>
      </c>
      <c r="U33" s="42">
        <v>0.55410000000000004</v>
      </c>
      <c r="V33" s="6"/>
      <c r="W33" s="39">
        <v>10419</v>
      </c>
      <c r="X33" s="14">
        <v>74289</v>
      </c>
      <c r="Y33" s="14">
        <v>11090</v>
      </c>
      <c r="Z33" s="14">
        <v>250</v>
      </c>
      <c r="AA33" s="6"/>
      <c r="AB33" s="6"/>
      <c r="AC33" s="6"/>
      <c r="AD33" s="6"/>
      <c r="AE33" s="6"/>
      <c r="AF33" s="6"/>
      <c r="AG33" s="6"/>
    </row>
    <row r="34" spans="1:33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39">
        <v>10420</v>
      </c>
      <c r="S34" s="40">
        <v>46275</v>
      </c>
      <c r="T34" s="41" t="s">
        <v>100</v>
      </c>
      <c r="U34" s="42">
        <v>0.50570000000000004</v>
      </c>
      <c r="V34" s="6"/>
      <c r="W34" s="39">
        <v>10420</v>
      </c>
      <c r="X34" s="14">
        <v>94024</v>
      </c>
      <c r="Y34" s="14">
        <v>11634</v>
      </c>
      <c r="Z34" s="14">
        <v>326</v>
      </c>
      <c r="AA34" s="6"/>
      <c r="AB34" s="6"/>
      <c r="AC34" s="6"/>
      <c r="AD34" s="6"/>
      <c r="AE34" s="6"/>
      <c r="AF34" s="6"/>
      <c r="AG34" s="6"/>
    </row>
    <row r="35" spans="1:33" x14ac:dyDescent="0.35">
      <c r="A35" s="6"/>
      <c r="B35" s="6"/>
      <c r="C35" s="6"/>
      <c r="D35" s="6"/>
      <c r="E35" s="6"/>
      <c r="F35" s="6"/>
      <c r="G35" s="1" t="s">
        <v>4</v>
      </c>
      <c r="H35" s="1"/>
      <c r="I35" s="6"/>
      <c r="J35" s="1" t="s">
        <v>4</v>
      </c>
      <c r="K35" s="1"/>
      <c r="L35" s="6"/>
      <c r="M35" s="6"/>
      <c r="N35" s="6"/>
      <c r="O35" s="6"/>
      <c r="P35" s="6"/>
      <c r="Q35" s="6"/>
      <c r="R35" s="39">
        <v>10421</v>
      </c>
      <c r="S35" s="40">
        <v>46275</v>
      </c>
      <c r="T35" s="28" t="s">
        <v>101</v>
      </c>
      <c r="U35" s="42">
        <v>0.375</v>
      </c>
      <c r="V35" s="6"/>
      <c r="W35" s="39">
        <v>10421</v>
      </c>
      <c r="X35" s="14">
        <v>31217</v>
      </c>
      <c r="Y35" s="14">
        <v>8634</v>
      </c>
      <c r="Z35" s="14">
        <v>164</v>
      </c>
      <c r="AA35" s="6"/>
      <c r="AB35" s="6"/>
      <c r="AC35" s="6"/>
      <c r="AD35" s="6"/>
      <c r="AE35" s="6"/>
      <c r="AF35" s="6"/>
      <c r="AG35" s="6"/>
    </row>
    <row r="36" spans="1:33" x14ac:dyDescent="0.35">
      <c r="A36" s="6"/>
      <c r="B36" s="6"/>
      <c r="C36" s="6"/>
      <c r="D36" s="6"/>
      <c r="E36" s="6"/>
      <c r="F36" s="6"/>
      <c r="G36" s="36" t="s">
        <v>13</v>
      </c>
      <c r="H36" s="36" t="s">
        <v>10</v>
      </c>
      <c r="I36" s="6"/>
      <c r="J36" s="36" t="s">
        <v>13</v>
      </c>
      <c r="K36" s="36" t="s">
        <v>11</v>
      </c>
      <c r="L36" s="6"/>
      <c r="M36" s="6"/>
      <c r="N36" s="6"/>
      <c r="O36" s="6"/>
      <c r="P36" s="6"/>
      <c r="Q36" s="6"/>
      <c r="R36" s="39">
        <v>10423</v>
      </c>
      <c r="S36" s="40">
        <v>46276</v>
      </c>
      <c r="T36" s="41" t="s">
        <v>101</v>
      </c>
      <c r="U36" s="42">
        <v>0.69879999999999998</v>
      </c>
      <c r="V36" s="6"/>
      <c r="W36" s="39">
        <v>10423</v>
      </c>
      <c r="X36" s="14">
        <v>87279</v>
      </c>
      <c r="Y36" s="14">
        <v>11114</v>
      </c>
      <c r="Z36" s="14">
        <v>147</v>
      </c>
      <c r="AA36" s="6"/>
      <c r="AB36" s="6"/>
      <c r="AC36" s="6"/>
      <c r="AD36" s="6"/>
      <c r="AE36" s="6"/>
      <c r="AF36" s="6"/>
    </row>
    <row r="37" spans="1:33" x14ac:dyDescent="0.35">
      <c r="A37" s="6"/>
      <c r="B37" s="6"/>
      <c r="C37" s="6"/>
      <c r="D37" s="6"/>
      <c r="E37" s="6"/>
      <c r="F37" s="6"/>
      <c r="G37" s="73" t="s">
        <v>15</v>
      </c>
      <c r="H37" s="74" t="str">
        <f>IFERROR((B48-B27)/B27,"")</f>
        <v/>
      </c>
      <c r="I37" s="6"/>
      <c r="J37" s="73" t="s">
        <v>15</v>
      </c>
      <c r="K37" s="74" t="str">
        <f>IFERROR((E48-E27)/E27,"")</f>
        <v/>
      </c>
      <c r="L37" s="6"/>
      <c r="M37" s="6"/>
      <c r="N37" s="6"/>
      <c r="O37" s="6"/>
      <c r="P37" s="6"/>
      <c r="Q37" s="6"/>
      <c r="R37" s="39">
        <v>10424</v>
      </c>
      <c r="S37" s="40">
        <v>46276</v>
      </c>
      <c r="T37" s="41" t="s">
        <v>101</v>
      </c>
      <c r="U37" s="42">
        <v>0.71819999999999995</v>
      </c>
      <c r="V37" s="6"/>
      <c r="W37" s="39">
        <v>10424</v>
      </c>
      <c r="X37" s="14">
        <v>64698</v>
      </c>
      <c r="Y37" s="14">
        <v>8368</v>
      </c>
      <c r="Z37" s="14">
        <v>82</v>
      </c>
      <c r="AA37" s="6"/>
      <c r="AB37" s="6"/>
      <c r="AC37" s="6"/>
      <c r="AD37" s="6"/>
      <c r="AE37" s="6"/>
      <c r="AF37" s="6"/>
    </row>
    <row r="38" spans="1:33" x14ac:dyDescent="0.35">
      <c r="A38" s="6"/>
      <c r="B38" s="6"/>
      <c r="C38" s="6"/>
      <c r="D38" s="6"/>
      <c r="E38" s="6"/>
      <c r="F38" s="6"/>
      <c r="G38" s="75" t="s">
        <v>17</v>
      </c>
      <c r="H38" s="76">
        <f>IFERROR((B49-B28)/B28,"")</f>
        <v>-1</v>
      </c>
      <c r="I38" s="6"/>
      <c r="J38" s="75" t="s">
        <v>17</v>
      </c>
      <c r="K38" s="76">
        <f>IFERROR((E49-E28)/E28,"")</f>
        <v>-1</v>
      </c>
      <c r="L38" s="6"/>
      <c r="M38" s="6"/>
      <c r="N38" s="6"/>
      <c r="O38" s="6"/>
      <c r="P38" s="6"/>
      <c r="Q38" s="6"/>
      <c r="R38" s="39">
        <v>10425</v>
      </c>
      <c r="S38" s="40">
        <v>46276</v>
      </c>
      <c r="T38" s="41" t="s">
        <v>103</v>
      </c>
      <c r="U38" s="42">
        <v>0.60140000000000005</v>
      </c>
      <c r="V38" s="6"/>
      <c r="W38" s="39">
        <v>10425</v>
      </c>
      <c r="X38" s="21">
        <v>78274</v>
      </c>
      <c r="Y38" s="21">
        <v>9102</v>
      </c>
      <c r="Z38" s="21">
        <v>137</v>
      </c>
      <c r="AA38" s="6"/>
      <c r="AB38" s="6"/>
      <c r="AC38" s="6"/>
      <c r="AD38" s="6"/>
      <c r="AE38" s="6"/>
      <c r="AF38" s="6"/>
    </row>
    <row r="39" spans="1:33" x14ac:dyDescent="0.35">
      <c r="A39" s="6"/>
      <c r="B39" s="6"/>
      <c r="C39" s="6"/>
      <c r="D39" s="6"/>
      <c r="E39" s="6"/>
      <c r="F39" s="6"/>
      <c r="G39" s="75" t="s">
        <v>19</v>
      </c>
      <c r="H39" s="76">
        <f>IFERROR((B50-B29)/B29,"")</f>
        <v>-1</v>
      </c>
      <c r="I39" s="6"/>
      <c r="J39" s="75" t="s">
        <v>19</v>
      </c>
      <c r="K39" s="76">
        <f>IFERROR((E50-E29)/E29,"")</f>
        <v>-1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49" t="s">
        <v>36</v>
      </c>
      <c r="X39" s="50">
        <f>SUM(X28:X38)</f>
        <v>845642</v>
      </c>
      <c r="Y39" s="50">
        <f>SUM(Y28:Y38)</f>
        <v>112657</v>
      </c>
      <c r="Z39" s="50">
        <f>SUM(Z28:Z38)</f>
        <v>1905</v>
      </c>
      <c r="AB39" s="6"/>
      <c r="AC39" s="6"/>
      <c r="AD39" s="6"/>
      <c r="AE39" s="6"/>
      <c r="AF39" s="6"/>
    </row>
    <row r="40" spans="1:33" x14ac:dyDescent="0.35">
      <c r="A40" s="6"/>
      <c r="B40" s="6"/>
      <c r="C40" s="6"/>
      <c r="D40" s="6"/>
      <c r="E40" s="6"/>
      <c r="F40" s="6"/>
      <c r="G40" s="75" t="s">
        <v>102</v>
      </c>
      <c r="H40" s="76">
        <f>IFERROR((B51-B30)/B30,"")</f>
        <v>-1</v>
      </c>
      <c r="I40" s="6"/>
      <c r="J40" s="75" t="s">
        <v>102</v>
      </c>
      <c r="K40" s="76">
        <f>IFERROR((E51-E30)/E30,"")</f>
        <v>-1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123" t="s">
        <v>86</v>
      </c>
      <c r="AC40" s="124"/>
      <c r="AD40" s="124"/>
      <c r="AE40" s="125"/>
      <c r="AF40" s="6"/>
    </row>
    <row r="41" spans="1:33" ht="15.5" customHeight="1" x14ac:dyDescent="0.35">
      <c r="A41" s="6"/>
      <c r="B41" s="6"/>
      <c r="C41" s="6"/>
      <c r="D41" s="6"/>
      <c r="E41" s="6"/>
      <c r="F41" s="6"/>
      <c r="G41" s="77" t="s">
        <v>104</v>
      </c>
      <c r="H41" s="78" t="str">
        <f>IFERROR((#REF!-B31)/B31,"")</f>
        <v/>
      </c>
      <c r="J41" s="77" t="s">
        <v>33</v>
      </c>
      <c r="K41" s="78" t="str">
        <f>IFERROR((#REF!-E31)/E31,"")</f>
        <v/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126" t="s">
        <v>82</v>
      </c>
      <c r="AC41" s="108"/>
      <c r="AD41" s="108"/>
      <c r="AE41" s="127"/>
      <c r="AF41" s="6"/>
    </row>
    <row r="42" spans="1:33" ht="15.5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128" t="s">
        <v>83</v>
      </c>
      <c r="AC42" s="36" t="s">
        <v>76</v>
      </c>
      <c r="AD42" s="36" t="s">
        <v>57</v>
      </c>
      <c r="AE42" s="129" t="s">
        <v>58</v>
      </c>
      <c r="AF42" s="6"/>
    </row>
    <row r="43" spans="1:33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115" t="s">
        <v>77</v>
      </c>
      <c r="AC43" s="116">
        <f>X47-X28</f>
        <v>-89998</v>
      </c>
      <c r="AD43" s="116">
        <f t="shared" ref="AD43:AE43" si="4">Y47-Y28</f>
        <v>-12257</v>
      </c>
      <c r="AE43" s="117">
        <f t="shared" si="4"/>
        <v>-316</v>
      </c>
      <c r="AF43" s="6"/>
    </row>
    <row r="44" spans="1:33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96" t="s">
        <v>88</v>
      </c>
      <c r="S44" s="96"/>
      <c r="T44" s="96"/>
      <c r="U44" s="96"/>
      <c r="V44" s="96"/>
      <c r="W44" s="96"/>
      <c r="X44" s="96"/>
      <c r="Y44" s="96"/>
      <c r="Z44" s="96"/>
      <c r="AA44" s="6"/>
      <c r="AB44" s="115" t="s">
        <v>101</v>
      </c>
      <c r="AC44" s="118">
        <f>X48-X29</f>
        <v>-36840</v>
      </c>
      <c r="AD44" s="118">
        <f t="shared" ref="AD44:AE53" si="5">Y48-Y29</f>
        <v>-8302</v>
      </c>
      <c r="AE44" s="119">
        <f t="shared" si="5"/>
        <v>-64</v>
      </c>
      <c r="AF44" s="6"/>
    </row>
    <row r="45" spans="1:33" x14ac:dyDescent="0.35">
      <c r="A45" s="111" t="s">
        <v>88</v>
      </c>
      <c r="B45" s="111"/>
      <c r="C45" s="111"/>
      <c r="D45" s="111"/>
      <c r="E45" s="111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2" t="s">
        <v>68</v>
      </c>
      <c r="S45" s="2"/>
      <c r="T45" s="2"/>
      <c r="U45" s="2"/>
      <c r="V45" s="6"/>
      <c r="W45" s="52" t="s">
        <v>69</v>
      </c>
      <c r="X45" s="52"/>
      <c r="Y45" s="52"/>
      <c r="Z45" s="52"/>
      <c r="AA45" s="6"/>
      <c r="AB45" s="115" t="s">
        <v>100</v>
      </c>
      <c r="AC45" s="118">
        <f t="shared" ref="AC45:AC53" si="6">X49-X30</f>
        <v>-165538</v>
      </c>
      <c r="AD45" s="118">
        <f t="shared" si="5"/>
        <v>-14042</v>
      </c>
      <c r="AE45" s="119">
        <f t="shared" si="5"/>
        <v>-238</v>
      </c>
      <c r="AF45" s="6"/>
    </row>
    <row r="46" spans="1:33" ht="19" customHeight="1" x14ac:dyDescent="0.35">
      <c r="A46" s="10" t="s">
        <v>13</v>
      </c>
      <c r="B46" s="10" t="s">
        <v>10</v>
      </c>
      <c r="C46" s="6"/>
      <c r="D46" s="10" t="s">
        <v>13</v>
      </c>
      <c r="E46" s="10" t="s">
        <v>11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36" t="s">
        <v>73</v>
      </c>
      <c r="S46" s="36" t="s">
        <v>9</v>
      </c>
      <c r="T46" s="36" t="s">
        <v>70</v>
      </c>
      <c r="U46" s="36" t="s">
        <v>74</v>
      </c>
      <c r="V46" s="6"/>
      <c r="W46" s="10" t="s">
        <v>75</v>
      </c>
      <c r="X46" s="10" t="s">
        <v>76</v>
      </c>
      <c r="Y46" s="10" t="s">
        <v>57</v>
      </c>
      <c r="Z46" s="10" t="s">
        <v>58</v>
      </c>
      <c r="AA46" s="6"/>
      <c r="AB46" s="115" t="s">
        <v>100</v>
      </c>
      <c r="AC46" s="118">
        <f t="shared" si="6"/>
        <v>-82686</v>
      </c>
      <c r="AD46" s="118">
        <f t="shared" si="5"/>
        <v>-10318</v>
      </c>
      <c r="AE46" s="119">
        <f t="shared" si="5"/>
        <v>-125</v>
      </c>
      <c r="AF46" s="6"/>
    </row>
    <row r="47" spans="1:33" x14ac:dyDescent="0.35">
      <c r="A47" s="13" t="s">
        <v>15</v>
      </c>
      <c r="B47" s="14"/>
      <c r="C47" s="6"/>
      <c r="D47" s="13" t="s">
        <v>15</v>
      </c>
      <c r="E47" s="14"/>
      <c r="F47" s="6"/>
      <c r="G47" s="6"/>
      <c r="H47" s="6"/>
      <c r="I47" s="6"/>
      <c r="J47" s="6"/>
      <c r="K47" s="6"/>
      <c r="L47" s="6"/>
      <c r="M47" s="6"/>
      <c r="N47" s="52" t="s">
        <v>67</v>
      </c>
      <c r="O47" s="52"/>
      <c r="P47" s="52"/>
      <c r="Q47" s="6"/>
      <c r="R47" s="39"/>
      <c r="S47" s="40"/>
      <c r="T47" s="41"/>
      <c r="U47" s="42"/>
      <c r="V47" s="6"/>
      <c r="W47" s="39"/>
      <c r="X47" s="21"/>
      <c r="Y47" s="21"/>
      <c r="Z47" s="21"/>
      <c r="AA47" s="6"/>
      <c r="AB47" s="115" t="s">
        <v>101</v>
      </c>
      <c r="AC47" s="118">
        <f t="shared" si="6"/>
        <v>-40799</v>
      </c>
      <c r="AD47" s="118">
        <f t="shared" si="5"/>
        <v>-7796</v>
      </c>
      <c r="AE47" s="119">
        <f t="shared" si="5"/>
        <v>-56</v>
      </c>
      <c r="AF47" s="6"/>
    </row>
    <row r="48" spans="1:33" x14ac:dyDescent="0.35">
      <c r="A48" s="20" t="s">
        <v>17</v>
      </c>
      <c r="B48" s="14"/>
      <c r="C48" s="6"/>
      <c r="D48" s="20" t="s">
        <v>17</v>
      </c>
      <c r="E48" s="14"/>
      <c r="F48" s="6"/>
      <c r="G48" s="6"/>
      <c r="H48" s="6"/>
      <c r="I48" s="6"/>
      <c r="J48" s="6"/>
      <c r="K48" s="6"/>
      <c r="L48" s="6"/>
      <c r="M48" s="6"/>
      <c r="N48" s="10" t="s">
        <v>70</v>
      </c>
      <c r="O48" s="10" t="s">
        <v>71</v>
      </c>
      <c r="P48" s="10" t="s">
        <v>72</v>
      </c>
      <c r="Q48" s="6"/>
      <c r="R48" s="39"/>
      <c r="S48" s="40"/>
      <c r="T48" s="41"/>
      <c r="U48" s="42"/>
      <c r="V48" s="6"/>
      <c r="W48" s="39"/>
      <c r="X48" s="14"/>
      <c r="Y48" s="14"/>
      <c r="Z48" s="14"/>
      <c r="AA48" s="6"/>
      <c r="AB48" s="115" t="s">
        <v>100</v>
      </c>
      <c r="AC48" s="118">
        <f t="shared" si="6"/>
        <v>-74289</v>
      </c>
      <c r="AD48" s="118">
        <f t="shared" si="5"/>
        <v>-11090</v>
      </c>
      <c r="AE48" s="119">
        <f t="shared" si="5"/>
        <v>-250</v>
      </c>
      <c r="AF48" s="6"/>
    </row>
    <row r="49" spans="1:32" x14ac:dyDescent="0.35">
      <c r="A49" s="20" t="s">
        <v>19</v>
      </c>
      <c r="B49" s="14"/>
      <c r="C49" s="6"/>
      <c r="D49" s="20" t="s">
        <v>19</v>
      </c>
      <c r="E49" s="14"/>
      <c r="F49" s="6"/>
      <c r="G49" s="6"/>
      <c r="H49" s="6"/>
      <c r="I49" s="6"/>
      <c r="J49" s="6"/>
      <c r="K49" s="6"/>
      <c r="L49" s="6"/>
      <c r="M49" s="6"/>
      <c r="N49" s="20" t="s">
        <v>77</v>
      </c>
      <c r="O49" s="37">
        <f>COUNTIF($T$47:$T$57,N49)</f>
        <v>0</v>
      </c>
      <c r="P49" s="38"/>
      <c r="Q49" s="6"/>
      <c r="R49" s="39"/>
      <c r="S49" s="40"/>
      <c r="T49" s="41"/>
      <c r="U49" s="42"/>
      <c r="V49" s="6"/>
      <c r="W49" s="39"/>
      <c r="X49" s="14"/>
      <c r="Y49" s="14"/>
      <c r="Z49" s="14"/>
      <c r="AA49" s="6"/>
      <c r="AB49" s="115" t="s">
        <v>100</v>
      </c>
      <c r="AC49" s="118">
        <f t="shared" si="6"/>
        <v>-94024</v>
      </c>
      <c r="AD49" s="118">
        <f t="shared" si="5"/>
        <v>-11634</v>
      </c>
      <c r="AE49" s="119">
        <f t="shared" si="5"/>
        <v>-326</v>
      </c>
      <c r="AF49" s="6"/>
    </row>
    <row r="50" spans="1:32" x14ac:dyDescent="0.35">
      <c r="A50" s="20" t="s">
        <v>102</v>
      </c>
      <c r="B50" s="14"/>
      <c r="C50" s="6"/>
      <c r="D50" s="20" t="s">
        <v>102</v>
      </c>
      <c r="E50" s="14"/>
      <c r="F50" s="6"/>
      <c r="G50" s="6"/>
      <c r="H50" s="6"/>
      <c r="I50" s="6"/>
      <c r="J50" s="6"/>
      <c r="K50" s="6"/>
      <c r="L50" s="6"/>
      <c r="M50" s="6"/>
      <c r="N50" s="20" t="s">
        <v>101</v>
      </c>
      <c r="O50" s="37">
        <f>COUNTIF($T$47:$T$57,N50)</f>
        <v>0</v>
      </c>
      <c r="P50" s="38"/>
      <c r="Q50" s="6"/>
      <c r="R50" s="39"/>
      <c r="S50" s="40"/>
      <c r="T50" s="41"/>
      <c r="U50" s="42"/>
      <c r="V50" s="6"/>
      <c r="W50" s="39"/>
      <c r="X50" s="14"/>
      <c r="Y50" s="14"/>
      <c r="Z50" s="14"/>
      <c r="AA50" s="6"/>
      <c r="AB50" s="120" t="s">
        <v>101</v>
      </c>
      <c r="AC50" s="118">
        <f t="shared" si="6"/>
        <v>-31217</v>
      </c>
      <c r="AD50" s="118">
        <f t="shared" si="5"/>
        <v>-8634</v>
      </c>
      <c r="AE50" s="119">
        <f t="shared" si="5"/>
        <v>-164</v>
      </c>
      <c r="AF50" s="6"/>
    </row>
    <row r="51" spans="1:32" x14ac:dyDescent="0.35">
      <c r="B51" s="66">
        <f>SUMPRODUCT(B47:B50)</f>
        <v>0</v>
      </c>
      <c r="C51" s="6"/>
      <c r="E51" s="66">
        <f>SUMPRODUCT(E47:E50)</f>
        <v>0</v>
      </c>
      <c r="F51" s="6"/>
      <c r="G51" s="6"/>
      <c r="H51" s="6"/>
      <c r="I51" s="6"/>
      <c r="J51" s="6"/>
      <c r="K51" s="6"/>
      <c r="L51" s="6"/>
      <c r="M51" s="6"/>
      <c r="N51" s="20" t="s">
        <v>100</v>
      </c>
      <c r="O51" s="37">
        <f>COUNTIF($T$47:$T$57,N51)</f>
        <v>0</v>
      </c>
      <c r="P51" s="38"/>
      <c r="Q51" s="6"/>
      <c r="R51" s="39"/>
      <c r="S51" s="40"/>
      <c r="T51" s="41"/>
      <c r="U51" s="42"/>
      <c r="V51" s="6"/>
      <c r="W51" s="39"/>
      <c r="X51" s="14"/>
      <c r="Y51" s="14"/>
      <c r="Z51" s="14"/>
      <c r="AA51" s="6"/>
      <c r="AB51" s="115" t="s">
        <v>101</v>
      </c>
      <c r="AC51" s="118">
        <f t="shared" si="6"/>
        <v>-87279</v>
      </c>
      <c r="AD51" s="118">
        <f t="shared" si="5"/>
        <v>-11114</v>
      </c>
      <c r="AE51" s="119">
        <f t="shared" si="5"/>
        <v>-147</v>
      </c>
      <c r="AF51" s="6"/>
    </row>
    <row r="52" spans="1:3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20" t="s">
        <v>103</v>
      </c>
      <c r="O52" s="37">
        <f>COUNTIF($T$47:$T$57,N52)</f>
        <v>0</v>
      </c>
      <c r="P52" s="38"/>
      <c r="Q52" s="6"/>
      <c r="R52" s="39"/>
      <c r="S52" s="40"/>
      <c r="T52" s="41"/>
      <c r="U52" s="42"/>
      <c r="V52" s="6"/>
      <c r="W52" s="39"/>
      <c r="X52" s="14"/>
      <c r="Y52" s="14"/>
      <c r="Z52" s="14"/>
      <c r="AA52" s="6"/>
      <c r="AB52" s="115" t="s">
        <v>101</v>
      </c>
      <c r="AC52" s="118">
        <f t="shared" si="6"/>
        <v>-64698</v>
      </c>
      <c r="AD52" s="118">
        <f t="shared" si="5"/>
        <v>-8368</v>
      </c>
      <c r="AE52" s="119">
        <f t="shared" si="5"/>
        <v>-82</v>
      </c>
      <c r="AF52" s="6"/>
    </row>
    <row r="53" spans="1:32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22" t="s">
        <v>36</v>
      </c>
      <c r="O53" s="23">
        <f>SUM(O49:O52)</f>
        <v>0</v>
      </c>
      <c r="P53" s="44" t="e">
        <f>AVERAGE(P49:P51)</f>
        <v>#DIV/0!</v>
      </c>
      <c r="Q53" s="6"/>
      <c r="R53" s="39"/>
      <c r="S53" s="40"/>
      <c r="T53" s="41"/>
      <c r="U53" s="42"/>
      <c r="V53" s="6"/>
      <c r="W53" s="39"/>
      <c r="X53" s="14"/>
      <c r="Y53" s="14"/>
      <c r="Z53" s="14"/>
      <c r="AA53" s="6"/>
      <c r="AB53" s="115" t="s">
        <v>103</v>
      </c>
      <c r="AC53" s="121">
        <f t="shared" si="6"/>
        <v>-78274</v>
      </c>
      <c r="AD53" s="121">
        <f t="shared" si="5"/>
        <v>-9102</v>
      </c>
      <c r="AE53" s="122">
        <f t="shared" si="5"/>
        <v>-137</v>
      </c>
      <c r="AF53" s="6"/>
    </row>
    <row r="54" spans="1:32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39"/>
      <c r="S54" s="40"/>
      <c r="T54" s="28"/>
      <c r="U54" s="42"/>
      <c r="V54" s="6"/>
      <c r="W54" s="39"/>
      <c r="X54" s="14"/>
      <c r="Y54" s="14"/>
      <c r="Z54" s="14"/>
      <c r="AA54" s="6"/>
      <c r="AB54" s="6"/>
      <c r="AC54" s="6"/>
      <c r="AD54" s="6"/>
      <c r="AE54" s="6"/>
      <c r="AF54" s="6"/>
    </row>
    <row r="55" spans="1:32" x14ac:dyDescent="0.35">
      <c r="A55" s="6"/>
      <c r="B55" s="6"/>
      <c r="C55" s="6"/>
      <c r="D55" s="6"/>
      <c r="E55" s="6"/>
      <c r="F55" s="6"/>
      <c r="G55" s="1" t="s">
        <v>4</v>
      </c>
      <c r="H55" s="1"/>
      <c r="I55" s="6"/>
      <c r="J55" s="1" t="s">
        <v>4</v>
      </c>
      <c r="K55" s="1"/>
      <c r="L55" s="6"/>
      <c r="M55" s="6"/>
      <c r="N55" s="6"/>
      <c r="O55" s="6"/>
      <c r="P55" s="6"/>
      <c r="Q55" s="6"/>
      <c r="R55" s="39"/>
      <c r="S55" s="40"/>
      <c r="T55" s="41"/>
      <c r="U55" s="42"/>
      <c r="V55" s="6"/>
      <c r="W55" s="39"/>
      <c r="X55" s="14"/>
      <c r="Y55" s="14"/>
      <c r="Z55" s="14"/>
      <c r="AA55" s="6"/>
      <c r="AB55" s="6"/>
      <c r="AC55" s="6"/>
      <c r="AD55" s="6"/>
      <c r="AE55" s="6"/>
      <c r="AF55" s="6"/>
    </row>
    <row r="56" spans="1:32" x14ac:dyDescent="0.35">
      <c r="A56" s="6"/>
      <c r="B56" s="6"/>
      <c r="C56" s="6"/>
      <c r="D56" s="6"/>
      <c r="E56" s="6"/>
      <c r="F56" s="6"/>
      <c r="G56" s="36" t="s">
        <v>13</v>
      </c>
      <c r="H56" s="36" t="s">
        <v>10</v>
      </c>
      <c r="I56" s="6"/>
      <c r="J56" s="36" t="s">
        <v>13</v>
      </c>
      <c r="K56" s="36" t="s">
        <v>11</v>
      </c>
      <c r="L56" s="6"/>
      <c r="M56" s="6"/>
      <c r="N56" s="6"/>
      <c r="O56" s="6"/>
      <c r="P56" s="6"/>
      <c r="Q56" s="6"/>
      <c r="R56" s="39"/>
      <c r="S56" s="40"/>
      <c r="T56" s="41"/>
      <c r="U56" s="42"/>
      <c r="V56" s="6"/>
      <c r="W56" s="39"/>
      <c r="X56" s="14"/>
      <c r="Y56" s="14"/>
      <c r="Z56" s="14"/>
      <c r="AA56" s="6"/>
      <c r="AB56" s="6"/>
      <c r="AC56" s="6"/>
      <c r="AD56" s="6"/>
      <c r="AE56" s="6"/>
      <c r="AF56" s="6"/>
    </row>
    <row r="57" spans="1:32" x14ac:dyDescent="0.35">
      <c r="A57" s="6"/>
      <c r="B57" s="6"/>
      <c r="C57" s="6"/>
      <c r="D57" s="6"/>
      <c r="E57" s="6"/>
      <c r="F57" s="6"/>
      <c r="G57" s="73" t="s">
        <v>15</v>
      </c>
      <c r="H57" s="74" t="str">
        <f>IFERROR((B66-B47)/B47,"")</f>
        <v/>
      </c>
      <c r="I57" s="6"/>
      <c r="J57" s="73" t="s">
        <v>15</v>
      </c>
      <c r="K57" s="74" t="str">
        <f>IFERROR((E66-E47)/E47,"")</f>
        <v/>
      </c>
      <c r="L57" s="6"/>
      <c r="M57" s="6"/>
      <c r="N57" s="6"/>
      <c r="O57" s="6"/>
      <c r="P57" s="6"/>
      <c r="Q57" s="6"/>
      <c r="R57" s="39"/>
      <c r="S57" s="40"/>
      <c r="T57" s="41"/>
      <c r="U57" s="42"/>
      <c r="V57" s="6"/>
      <c r="W57" s="39"/>
      <c r="X57" s="14"/>
      <c r="Y57" s="14"/>
      <c r="Z57" s="14"/>
      <c r="AA57" s="6"/>
      <c r="AB57" s="6"/>
      <c r="AC57" s="6"/>
      <c r="AD57" s="6"/>
      <c r="AE57" s="6"/>
      <c r="AF57" s="6"/>
    </row>
    <row r="58" spans="1:32" x14ac:dyDescent="0.35">
      <c r="A58" s="6"/>
      <c r="B58" s="6"/>
      <c r="C58" s="6"/>
      <c r="D58" s="6"/>
      <c r="E58" s="6"/>
      <c r="F58" s="6"/>
      <c r="G58" s="75" t="s">
        <v>17</v>
      </c>
      <c r="H58" s="76" t="str">
        <f>IFERROR((B67-B48)/B48,"")</f>
        <v/>
      </c>
      <c r="I58" s="6"/>
      <c r="J58" s="75" t="s">
        <v>17</v>
      </c>
      <c r="K58" s="76" t="str">
        <f>IFERROR((E67-E48)/E48,"")</f>
        <v/>
      </c>
      <c r="L58" s="6"/>
      <c r="M58" s="6"/>
      <c r="N58" s="6"/>
      <c r="P58" s="6"/>
      <c r="Q58" s="6"/>
      <c r="R58" s="6"/>
      <c r="S58" s="6"/>
      <c r="T58" s="6"/>
      <c r="U58" s="6"/>
      <c r="V58" s="6"/>
      <c r="W58" s="49" t="s">
        <v>36</v>
      </c>
      <c r="X58" s="50">
        <f>SUM(X47:X57)</f>
        <v>0</v>
      </c>
      <c r="Y58" s="50">
        <f>SUM(Y47:Y57)</f>
        <v>0</v>
      </c>
      <c r="Z58" s="50">
        <f>SUM(Z47:Z57)</f>
        <v>0</v>
      </c>
      <c r="AA58" s="6"/>
      <c r="AB58" s="6"/>
      <c r="AC58" s="6"/>
      <c r="AD58" s="6"/>
      <c r="AE58" s="6"/>
      <c r="AF58" s="6"/>
    </row>
    <row r="59" spans="1:32" x14ac:dyDescent="0.35">
      <c r="A59" s="6"/>
      <c r="B59" s="6"/>
      <c r="C59" s="6"/>
      <c r="D59" s="6"/>
      <c r="E59" s="6"/>
      <c r="F59" s="6"/>
      <c r="G59" s="75" t="s">
        <v>19</v>
      </c>
      <c r="H59" s="76" t="str">
        <f>IFERROR((B68-B49)/B49,"")</f>
        <v/>
      </c>
      <c r="I59" s="6"/>
      <c r="J59" s="75" t="s">
        <v>19</v>
      </c>
      <c r="K59" s="76" t="str">
        <f>IFERROR((E68-E49)/E49,"")</f>
        <v/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101" t="s">
        <v>88</v>
      </c>
      <c r="AC59" s="101"/>
      <c r="AD59" s="101"/>
      <c r="AE59" s="101"/>
      <c r="AF59" s="6"/>
    </row>
    <row r="60" spans="1:32" x14ac:dyDescent="0.35">
      <c r="A60" s="6"/>
      <c r="B60" s="6"/>
      <c r="C60" s="6"/>
      <c r="D60" s="6"/>
      <c r="E60" s="6"/>
      <c r="F60" s="6"/>
      <c r="G60" s="75" t="s">
        <v>102</v>
      </c>
      <c r="H60" s="76" t="str">
        <f>IFERROR((B69-B50)/B50,"")</f>
        <v/>
      </c>
      <c r="I60" s="6"/>
      <c r="J60" s="75" t="s">
        <v>102</v>
      </c>
      <c r="K60" s="76" t="str">
        <f>IFERROR((E69-E50)/E50,"")</f>
        <v/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126" t="s">
        <v>82</v>
      </c>
      <c r="AC60" s="108"/>
      <c r="AD60" s="108"/>
      <c r="AE60" s="127"/>
      <c r="AF60" s="6"/>
    </row>
    <row r="61" spans="1:32" ht="26" x14ac:dyDescent="0.35">
      <c r="A61" s="6"/>
      <c r="B61" s="6"/>
      <c r="C61" s="6"/>
      <c r="D61" s="6"/>
      <c r="E61" s="6"/>
      <c r="F61" s="6"/>
      <c r="G61" s="77" t="s">
        <v>104</v>
      </c>
      <c r="H61" s="78" t="str">
        <f>IFERROR((#REF!-B51)/B51,"")</f>
        <v/>
      </c>
      <c r="J61" s="77" t="s">
        <v>33</v>
      </c>
      <c r="K61" s="78" t="str">
        <f>IFERROR((#REF!-E51)/E51,"")</f>
        <v/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128" t="s">
        <v>83</v>
      </c>
      <c r="AC61" s="36" t="s">
        <v>76</v>
      </c>
      <c r="AD61" s="36" t="s">
        <v>57</v>
      </c>
      <c r="AE61" s="129" t="s">
        <v>58</v>
      </c>
      <c r="AF61" s="6"/>
    </row>
    <row r="62" spans="1:32" x14ac:dyDescent="0.35">
      <c r="A62" s="111" t="s">
        <v>91</v>
      </c>
      <c r="B62" s="111"/>
      <c r="C62" s="111"/>
      <c r="D62" s="111"/>
      <c r="E62" s="111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115" t="s">
        <v>77</v>
      </c>
      <c r="AC62" s="116">
        <f>X66-X47</f>
        <v>0</v>
      </c>
      <c r="AD62" s="116">
        <f t="shared" ref="AD62:AD72" si="7">Y66-Y47</f>
        <v>0</v>
      </c>
      <c r="AE62" s="117">
        <f t="shared" ref="AE62:AE72" si="8">Z66-Z47</f>
        <v>0</v>
      </c>
      <c r="AF62" s="6"/>
    </row>
    <row r="63" spans="1:32" x14ac:dyDescent="0.35">
      <c r="A63" s="10" t="s">
        <v>13</v>
      </c>
      <c r="B63" s="10" t="s">
        <v>10</v>
      </c>
      <c r="C63" s="6"/>
      <c r="D63" s="10" t="s">
        <v>13</v>
      </c>
      <c r="E63" s="10" t="s">
        <v>11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96" t="s">
        <v>91</v>
      </c>
      <c r="S63" s="96"/>
      <c r="T63" s="96"/>
      <c r="U63" s="96"/>
      <c r="V63" s="96"/>
      <c r="W63" s="96"/>
      <c r="X63" s="96"/>
      <c r="Y63" s="96"/>
      <c r="Z63" s="96"/>
      <c r="AA63" s="6"/>
      <c r="AB63" s="115" t="s">
        <v>101</v>
      </c>
      <c r="AC63" s="118">
        <f>X67-X48</f>
        <v>0</v>
      </c>
      <c r="AD63" s="118">
        <f t="shared" si="7"/>
        <v>0</v>
      </c>
      <c r="AE63" s="119">
        <f t="shared" si="8"/>
        <v>0</v>
      </c>
      <c r="AF63" s="6"/>
    </row>
    <row r="64" spans="1:32" x14ac:dyDescent="0.35">
      <c r="A64" s="13" t="s">
        <v>15</v>
      </c>
      <c r="B64" s="14"/>
      <c r="C64" s="6"/>
      <c r="D64" s="13" t="s">
        <v>15</v>
      </c>
      <c r="E64" s="14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2" t="s">
        <v>68</v>
      </c>
      <c r="S64" s="2"/>
      <c r="T64" s="2"/>
      <c r="U64" s="2"/>
      <c r="V64" s="6"/>
      <c r="W64" s="52" t="s">
        <v>69</v>
      </c>
      <c r="X64" s="52"/>
      <c r="Y64" s="52"/>
      <c r="Z64" s="52"/>
      <c r="AA64" s="6"/>
      <c r="AB64" s="115" t="s">
        <v>100</v>
      </c>
      <c r="AC64" s="118">
        <f t="shared" ref="AC64:AC72" si="9">X68-X49</f>
        <v>0</v>
      </c>
      <c r="AD64" s="118">
        <f t="shared" si="7"/>
        <v>0</v>
      </c>
      <c r="AE64" s="119">
        <f t="shared" si="8"/>
        <v>0</v>
      </c>
      <c r="AF64" s="6"/>
    </row>
    <row r="65" spans="1:32" ht="16" customHeight="1" x14ac:dyDescent="0.35">
      <c r="A65" s="20" t="s">
        <v>17</v>
      </c>
      <c r="B65" s="14"/>
      <c r="C65" s="6"/>
      <c r="D65" s="20" t="s">
        <v>17</v>
      </c>
      <c r="E65" s="14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36" t="s">
        <v>73</v>
      </c>
      <c r="S65" s="36" t="s">
        <v>9</v>
      </c>
      <c r="T65" s="36" t="s">
        <v>70</v>
      </c>
      <c r="U65" s="36" t="s">
        <v>74</v>
      </c>
      <c r="V65" s="6"/>
      <c r="W65" s="10" t="s">
        <v>75</v>
      </c>
      <c r="X65" s="10" t="s">
        <v>76</v>
      </c>
      <c r="Y65" s="10" t="s">
        <v>57</v>
      </c>
      <c r="Z65" s="10" t="s">
        <v>58</v>
      </c>
      <c r="AA65" s="6"/>
      <c r="AB65" s="115" t="s">
        <v>100</v>
      </c>
      <c r="AC65" s="118">
        <f t="shared" si="9"/>
        <v>0</v>
      </c>
      <c r="AD65" s="118">
        <f t="shared" si="7"/>
        <v>0</v>
      </c>
      <c r="AE65" s="119">
        <f t="shared" si="8"/>
        <v>0</v>
      </c>
      <c r="AF65" s="6"/>
    </row>
    <row r="66" spans="1:32" x14ac:dyDescent="0.35">
      <c r="A66" s="20" t="s">
        <v>19</v>
      </c>
      <c r="B66" s="14"/>
      <c r="C66" s="6"/>
      <c r="D66" s="20" t="s">
        <v>19</v>
      </c>
      <c r="E66" s="14"/>
      <c r="F66" s="6"/>
      <c r="G66" s="6"/>
      <c r="H66" s="6"/>
      <c r="I66" s="6"/>
      <c r="J66" s="6"/>
      <c r="K66" s="6"/>
      <c r="L66" s="6"/>
      <c r="M66" s="6"/>
      <c r="N66" s="52" t="s">
        <v>67</v>
      </c>
      <c r="O66" s="52"/>
      <c r="P66" s="52"/>
      <c r="Q66" s="6"/>
      <c r="R66" s="39"/>
      <c r="S66" s="40"/>
      <c r="T66" s="41"/>
      <c r="U66" s="42"/>
      <c r="V66" s="6"/>
      <c r="W66" s="39"/>
      <c r="X66" s="21"/>
      <c r="Y66" s="21"/>
      <c r="Z66" s="21"/>
      <c r="AA66" s="6"/>
      <c r="AB66" s="115" t="s">
        <v>101</v>
      </c>
      <c r="AC66" s="118">
        <f t="shared" si="9"/>
        <v>0</v>
      </c>
      <c r="AD66" s="118">
        <f t="shared" si="7"/>
        <v>0</v>
      </c>
      <c r="AE66" s="119">
        <f t="shared" si="8"/>
        <v>0</v>
      </c>
      <c r="AF66" s="6"/>
    </row>
    <row r="67" spans="1:32" x14ac:dyDescent="0.35">
      <c r="A67" s="20" t="s">
        <v>102</v>
      </c>
      <c r="B67" s="14"/>
      <c r="C67" s="6"/>
      <c r="D67" s="20" t="s">
        <v>102</v>
      </c>
      <c r="E67" s="14"/>
      <c r="F67" s="6"/>
      <c r="G67" s="6"/>
      <c r="H67" s="6"/>
      <c r="I67" s="6"/>
      <c r="J67" s="6"/>
      <c r="K67" s="6"/>
      <c r="L67" s="6"/>
      <c r="M67" s="6"/>
      <c r="N67" s="10" t="s">
        <v>70</v>
      </c>
      <c r="O67" s="10" t="s">
        <v>71</v>
      </c>
      <c r="P67" s="10" t="s">
        <v>72</v>
      </c>
      <c r="Q67" s="6"/>
      <c r="R67" s="39"/>
      <c r="S67" s="40"/>
      <c r="T67" s="41"/>
      <c r="U67" s="42"/>
      <c r="V67" s="6"/>
      <c r="W67" s="39"/>
      <c r="X67" s="14"/>
      <c r="Y67" s="14"/>
      <c r="Z67" s="14"/>
      <c r="AA67" s="6"/>
      <c r="AB67" s="115" t="s">
        <v>100</v>
      </c>
      <c r="AC67" s="118">
        <f t="shared" si="9"/>
        <v>0</v>
      </c>
      <c r="AD67" s="118">
        <f t="shared" si="7"/>
        <v>0</v>
      </c>
      <c r="AE67" s="119">
        <f t="shared" si="8"/>
        <v>0</v>
      </c>
      <c r="AF67" s="6"/>
    </row>
    <row r="68" spans="1:32" x14ac:dyDescent="0.35">
      <c r="B68" s="66">
        <f>SUMPRODUCT(B64:B67)</f>
        <v>0</v>
      </c>
      <c r="C68" s="6"/>
      <c r="E68" s="66">
        <f>SUMPRODUCT(E64:E67)</f>
        <v>0</v>
      </c>
      <c r="F68" s="6"/>
      <c r="G68" s="6"/>
      <c r="H68" s="6"/>
      <c r="I68" s="6"/>
      <c r="J68" s="6"/>
      <c r="K68" s="6"/>
      <c r="L68" s="6"/>
      <c r="M68" s="6"/>
      <c r="N68" s="20" t="s">
        <v>77</v>
      </c>
      <c r="O68" s="37">
        <f>COUNTIF($T$66:$T$76,N68)</f>
        <v>0</v>
      </c>
      <c r="P68" s="38"/>
      <c r="Q68" s="6"/>
      <c r="R68" s="39"/>
      <c r="S68" s="40"/>
      <c r="T68" s="41"/>
      <c r="U68" s="42"/>
      <c r="V68" s="6"/>
      <c r="W68" s="39"/>
      <c r="X68" s="14"/>
      <c r="Y68" s="14"/>
      <c r="Z68" s="14"/>
      <c r="AA68" s="6"/>
      <c r="AB68" s="115" t="s">
        <v>100</v>
      </c>
      <c r="AC68" s="118">
        <f t="shared" si="9"/>
        <v>0</v>
      </c>
      <c r="AD68" s="118">
        <f t="shared" si="7"/>
        <v>0</v>
      </c>
      <c r="AE68" s="119">
        <f t="shared" si="8"/>
        <v>0</v>
      </c>
      <c r="AF68" s="6"/>
    </row>
    <row r="69" spans="1:32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20" t="s">
        <v>101</v>
      </c>
      <c r="O69" s="37">
        <f>COUNTIF($T$66:$T$76,N69)</f>
        <v>0</v>
      </c>
      <c r="P69" s="38"/>
      <c r="Q69" s="6"/>
      <c r="R69" s="39"/>
      <c r="S69" s="40"/>
      <c r="T69" s="41"/>
      <c r="U69" s="42"/>
      <c r="V69" s="6"/>
      <c r="W69" s="39"/>
      <c r="X69" s="14"/>
      <c r="Y69" s="14"/>
      <c r="Z69" s="14"/>
      <c r="AA69" s="6"/>
      <c r="AB69" s="120" t="s">
        <v>101</v>
      </c>
      <c r="AC69" s="118">
        <f t="shared" si="9"/>
        <v>0</v>
      </c>
      <c r="AD69" s="118">
        <f t="shared" si="7"/>
        <v>0</v>
      </c>
      <c r="AE69" s="119">
        <f t="shared" si="8"/>
        <v>0</v>
      </c>
      <c r="AF69" s="6"/>
    </row>
    <row r="70" spans="1:32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20" t="s">
        <v>100</v>
      </c>
      <c r="O70" s="37">
        <f>COUNTIF($T$66:$T$76,N70)</f>
        <v>0</v>
      </c>
      <c r="P70" s="38"/>
      <c r="Q70" s="6"/>
      <c r="R70" s="39"/>
      <c r="S70" s="40"/>
      <c r="T70" s="41"/>
      <c r="U70" s="42"/>
      <c r="V70" s="6"/>
      <c r="W70" s="39"/>
      <c r="X70" s="14"/>
      <c r="Y70" s="14"/>
      <c r="Z70" s="14"/>
      <c r="AA70" s="6"/>
      <c r="AB70" s="115" t="s">
        <v>101</v>
      </c>
      <c r="AC70" s="118">
        <f t="shared" si="9"/>
        <v>0</v>
      </c>
      <c r="AD70" s="118">
        <f t="shared" si="7"/>
        <v>0</v>
      </c>
      <c r="AE70" s="119">
        <f t="shared" si="8"/>
        <v>0</v>
      </c>
      <c r="AF70" s="6"/>
    </row>
    <row r="71" spans="1:3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20" t="s">
        <v>103</v>
      </c>
      <c r="O71" s="37">
        <f>COUNTIF($T$66:$T$76,N71)</f>
        <v>0</v>
      </c>
      <c r="P71" s="38"/>
      <c r="Q71" s="6"/>
      <c r="R71" s="39"/>
      <c r="S71" s="40"/>
      <c r="T71" s="41"/>
      <c r="U71" s="42"/>
      <c r="V71" s="6"/>
      <c r="W71" s="39"/>
      <c r="X71" s="14"/>
      <c r="Y71" s="14"/>
      <c r="Z71" s="14"/>
      <c r="AA71" s="6"/>
      <c r="AB71" s="115" t="s">
        <v>101</v>
      </c>
      <c r="AC71" s="118">
        <f t="shared" si="9"/>
        <v>0</v>
      </c>
      <c r="AD71" s="118">
        <f t="shared" si="7"/>
        <v>0</v>
      </c>
      <c r="AE71" s="119">
        <f t="shared" si="8"/>
        <v>0</v>
      </c>
      <c r="AF71" s="6"/>
    </row>
    <row r="72" spans="1:32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22" t="s">
        <v>36</v>
      </c>
      <c r="O72" s="23">
        <f>SUM(O68:O71)</f>
        <v>0</v>
      </c>
      <c r="P72" s="44" t="e">
        <f>AVERAGE(P68:P70)</f>
        <v>#DIV/0!</v>
      </c>
      <c r="Q72" s="6"/>
      <c r="R72" s="39"/>
      <c r="S72" s="40"/>
      <c r="T72" s="41"/>
      <c r="U72" s="42"/>
      <c r="V72" s="6"/>
      <c r="W72" s="39"/>
      <c r="X72" s="14"/>
      <c r="Y72" s="14"/>
      <c r="Z72" s="14"/>
      <c r="AA72" s="6"/>
      <c r="AB72" s="115" t="s">
        <v>103</v>
      </c>
      <c r="AC72" s="121">
        <f t="shared" si="9"/>
        <v>0</v>
      </c>
      <c r="AD72" s="121">
        <f t="shared" si="7"/>
        <v>0</v>
      </c>
      <c r="AE72" s="122">
        <f t="shared" si="8"/>
        <v>0</v>
      </c>
      <c r="AF72" s="6"/>
    </row>
    <row r="73" spans="1:32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39"/>
      <c r="S73" s="40"/>
      <c r="T73" s="28"/>
      <c r="U73" s="42"/>
      <c r="V73" s="6"/>
      <c r="W73" s="39"/>
      <c r="X73" s="14"/>
      <c r="Y73" s="14"/>
      <c r="Z73" s="14"/>
      <c r="AA73" s="6"/>
      <c r="AB73" s="6"/>
      <c r="AC73" s="6"/>
      <c r="AD73" s="6"/>
      <c r="AE73" s="6"/>
      <c r="AF73" s="6"/>
    </row>
    <row r="74" spans="1:32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39"/>
      <c r="S74" s="40"/>
      <c r="T74" s="41"/>
      <c r="U74" s="42"/>
      <c r="V74" s="6"/>
      <c r="W74" s="39"/>
      <c r="X74" s="14"/>
      <c r="Y74" s="14"/>
      <c r="Z74" s="14"/>
      <c r="AA74" s="6"/>
      <c r="AB74" s="6"/>
      <c r="AC74" s="6"/>
      <c r="AD74" s="6"/>
      <c r="AE74" s="6"/>
      <c r="AF74" s="6"/>
    </row>
    <row r="75" spans="1:32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39"/>
      <c r="S75" s="40"/>
      <c r="T75" s="41"/>
      <c r="U75" s="42"/>
      <c r="V75" s="6"/>
      <c r="W75" s="39"/>
      <c r="X75" s="14"/>
      <c r="Y75" s="14"/>
      <c r="Z75" s="14"/>
      <c r="AA75" s="6"/>
      <c r="AB75" s="6"/>
      <c r="AC75" s="6"/>
      <c r="AD75" s="6"/>
      <c r="AE75" s="6"/>
      <c r="AF75" s="6"/>
    </row>
    <row r="76" spans="1:32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39"/>
      <c r="S76" s="40"/>
      <c r="T76" s="41"/>
      <c r="U76" s="42"/>
      <c r="V76" s="6"/>
      <c r="W76" s="39"/>
      <c r="X76" s="14"/>
      <c r="Y76" s="14"/>
      <c r="Z76" s="14"/>
      <c r="AA76" s="6"/>
      <c r="AB76" s="6"/>
      <c r="AC76" s="6"/>
      <c r="AD76" s="6"/>
      <c r="AE76" s="6"/>
      <c r="AF76" s="6"/>
    </row>
    <row r="77" spans="1:32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49" t="s">
        <v>36</v>
      </c>
      <c r="X77" s="50">
        <f>SUM(X66:X76)</f>
        <v>0</v>
      </c>
      <c r="Y77" s="50">
        <f>SUM(Y66:Y76)</f>
        <v>0</v>
      </c>
      <c r="Z77" s="50">
        <f>SUM(Z66:Z76)</f>
        <v>0</v>
      </c>
      <c r="AA77" s="6"/>
      <c r="AB77" s="6"/>
      <c r="AC77" s="6"/>
      <c r="AD77" s="6"/>
      <c r="AE77" s="6"/>
      <c r="AF77" s="6"/>
    </row>
    <row r="78" spans="1:32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138" t="s">
        <v>91</v>
      </c>
      <c r="AC78" s="139"/>
      <c r="AD78" s="139"/>
      <c r="AE78" s="140"/>
      <c r="AF78" s="6"/>
    </row>
    <row r="79" spans="1:32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141" t="s">
        <v>82</v>
      </c>
      <c r="AC79" s="136"/>
      <c r="AD79" s="136"/>
      <c r="AE79" s="142"/>
      <c r="AF79" s="6"/>
    </row>
    <row r="80" spans="1:32" ht="26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143" t="s">
        <v>83</v>
      </c>
      <c r="AC80" s="137" t="s">
        <v>76</v>
      </c>
      <c r="AD80" s="137" t="s">
        <v>57</v>
      </c>
      <c r="AE80" s="144" t="s">
        <v>58</v>
      </c>
      <c r="AF80" s="6"/>
    </row>
    <row r="81" spans="1:32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134" t="s">
        <v>77</v>
      </c>
      <c r="AC81" s="118">
        <f>X87-X66</f>
        <v>0</v>
      </c>
      <c r="AD81" s="118">
        <f t="shared" ref="AD81:AE91" si="10">Y87-Y66</f>
        <v>0</v>
      </c>
      <c r="AE81" s="119">
        <f>Z87-Z66</f>
        <v>0</v>
      </c>
      <c r="AF81" s="6"/>
    </row>
    <row r="82" spans="1:32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134" t="s">
        <v>101</v>
      </c>
      <c r="AC82" s="118">
        <f t="shared" ref="AC82:AC91" si="11">X88-X67</f>
        <v>0</v>
      </c>
      <c r="AD82" s="118">
        <f t="shared" si="10"/>
        <v>0</v>
      </c>
      <c r="AE82" s="119">
        <f t="shared" ref="AD81:AE91" si="12">Z67-Z48</f>
        <v>0</v>
      </c>
      <c r="AF82" s="6"/>
    </row>
    <row r="83" spans="1:32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134" t="s">
        <v>100</v>
      </c>
      <c r="AC83" s="118">
        <f t="shared" si="11"/>
        <v>0</v>
      </c>
      <c r="AD83" s="118">
        <f t="shared" si="10"/>
        <v>0</v>
      </c>
      <c r="AE83" s="119">
        <f t="shared" si="12"/>
        <v>0</v>
      </c>
      <c r="AF83" s="6"/>
    </row>
    <row r="84" spans="1:32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134" t="s">
        <v>100</v>
      </c>
      <c r="AC84" s="118">
        <f t="shared" si="11"/>
        <v>0</v>
      </c>
      <c r="AD84" s="118">
        <f t="shared" si="10"/>
        <v>0</v>
      </c>
      <c r="AE84" s="119">
        <f t="shared" si="12"/>
        <v>0</v>
      </c>
      <c r="AF84" s="6"/>
    </row>
    <row r="85" spans="1:32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2" t="s">
        <v>68</v>
      </c>
      <c r="S85" s="2"/>
      <c r="T85" s="2"/>
      <c r="U85" s="2"/>
      <c r="V85" s="6"/>
      <c r="W85" s="52" t="s">
        <v>69</v>
      </c>
      <c r="X85" s="52"/>
      <c r="Y85" s="52"/>
      <c r="Z85" s="52"/>
      <c r="AA85" s="6"/>
      <c r="AB85" s="134" t="s">
        <v>101</v>
      </c>
      <c r="AC85" s="118">
        <f t="shared" si="11"/>
        <v>0</v>
      </c>
      <c r="AD85" s="118">
        <f t="shared" si="10"/>
        <v>0</v>
      </c>
      <c r="AE85" s="119">
        <f t="shared" si="12"/>
        <v>0</v>
      </c>
      <c r="AF85" s="6"/>
    </row>
    <row r="86" spans="1:32" ht="26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36" t="s">
        <v>73</v>
      </c>
      <c r="S86" s="36" t="s">
        <v>9</v>
      </c>
      <c r="T86" s="36" t="s">
        <v>70</v>
      </c>
      <c r="U86" s="36" t="s">
        <v>74</v>
      </c>
      <c r="V86" s="6"/>
      <c r="W86" s="10" t="s">
        <v>75</v>
      </c>
      <c r="X86" s="10" t="s">
        <v>76</v>
      </c>
      <c r="Y86" s="10" t="s">
        <v>57</v>
      </c>
      <c r="Z86" s="10" t="s">
        <v>58</v>
      </c>
      <c r="AA86" s="6"/>
      <c r="AB86" s="134" t="s">
        <v>100</v>
      </c>
      <c r="AC86" s="118">
        <f t="shared" si="11"/>
        <v>0</v>
      </c>
      <c r="AD86" s="118">
        <f t="shared" si="10"/>
        <v>0</v>
      </c>
      <c r="AE86" s="119">
        <f t="shared" si="12"/>
        <v>0</v>
      </c>
      <c r="AF86" s="6"/>
    </row>
    <row r="87" spans="1:32" x14ac:dyDescent="0.35">
      <c r="N87" s="52" t="s">
        <v>67</v>
      </c>
      <c r="O87" s="52"/>
      <c r="P87" s="52"/>
      <c r="Q87" s="6"/>
      <c r="R87" s="39"/>
      <c r="S87" s="40"/>
      <c r="T87" s="41"/>
      <c r="U87" s="42"/>
      <c r="V87" s="6"/>
      <c r="W87" s="39"/>
      <c r="X87" s="21"/>
      <c r="Y87" s="21"/>
      <c r="Z87" s="21"/>
      <c r="AB87" s="134" t="s">
        <v>100</v>
      </c>
      <c r="AC87" s="118">
        <f t="shared" si="11"/>
        <v>0</v>
      </c>
      <c r="AD87" s="118">
        <f t="shared" si="10"/>
        <v>0</v>
      </c>
      <c r="AE87" s="119">
        <f t="shared" si="12"/>
        <v>0</v>
      </c>
      <c r="AF87" s="6"/>
    </row>
    <row r="88" spans="1:32" x14ac:dyDescent="0.35">
      <c r="N88" s="10" t="s">
        <v>70</v>
      </c>
      <c r="O88" s="10" t="s">
        <v>71</v>
      </c>
      <c r="P88" s="10" t="s">
        <v>72</v>
      </c>
      <c r="Q88" s="6"/>
      <c r="R88" s="39"/>
      <c r="S88" s="40"/>
      <c r="T88" s="41"/>
      <c r="U88" s="42"/>
      <c r="V88" s="6"/>
      <c r="W88" s="39"/>
      <c r="X88" s="14"/>
      <c r="Y88" s="14"/>
      <c r="Z88" s="14"/>
      <c r="AB88" s="134" t="s">
        <v>101</v>
      </c>
      <c r="AC88" s="118">
        <f t="shared" si="11"/>
        <v>0</v>
      </c>
      <c r="AD88" s="118">
        <f t="shared" si="10"/>
        <v>0</v>
      </c>
      <c r="AE88" s="119">
        <f t="shared" si="12"/>
        <v>0</v>
      </c>
    </row>
    <row r="89" spans="1:32" x14ac:dyDescent="0.35">
      <c r="N89" s="20" t="s">
        <v>77</v>
      </c>
      <c r="O89" s="37">
        <f>COUNTIF($T$66:$T$76,N89)</f>
        <v>0</v>
      </c>
      <c r="P89" s="38"/>
      <c r="Q89" s="6"/>
      <c r="R89" s="39"/>
      <c r="S89" s="40"/>
      <c r="T89" s="41"/>
      <c r="U89" s="42"/>
      <c r="V89" s="6"/>
      <c r="W89" s="39"/>
      <c r="X89" s="14"/>
      <c r="Y89" s="14"/>
      <c r="Z89" s="14"/>
      <c r="AB89" s="134" t="s">
        <v>101</v>
      </c>
      <c r="AC89" s="118">
        <f t="shared" si="11"/>
        <v>0</v>
      </c>
      <c r="AD89" s="118">
        <f t="shared" si="10"/>
        <v>0</v>
      </c>
      <c r="AE89" s="119">
        <f t="shared" si="12"/>
        <v>0</v>
      </c>
    </row>
    <row r="90" spans="1:32" x14ac:dyDescent="0.35">
      <c r="N90" s="20" t="s">
        <v>101</v>
      </c>
      <c r="O90" s="37">
        <f>COUNTIF($T$66:$T$76,N90)</f>
        <v>0</v>
      </c>
      <c r="P90" s="38"/>
      <c r="Q90" s="6"/>
      <c r="R90" s="39"/>
      <c r="S90" s="40"/>
      <c r="T90" s="41"/>
      <c r="U90" s="42"/>
      <c r="V90" s="6"/>
      <c r="W90" s="39"/>
      <c r="X90" s="14"/>
      <c r="Y90" s="14"/>
      <c r="Z90" s="14"/>
      <c r="AB90" s="134" t="s">
        <v>101</v>
      </c>
      <c r="AC90" s="118">
        <f t="shared" si="11"/>
        <v>0</v>
      </c>
      <c r="AD90" s="118">
        <f t="shared" si="10"/>
        <v>0</v>
      </c>
      <c r="AE90" s="119">
        <f t="shared" si="12"/>
        <v>0</v>
      </c>
    </row>
    <row r="91" spans="1:32" x14ac:dyDescent="0.35">
      <c r="N91" s="20" t="s">
        <v>100</v>
      </c>
      <c r="O91" s="37">
        <f>COUNTIF($T$66:$T$76,N91)</f>
        <v>0</v>
      </c>
      <c r="P91" s="38"/>
      <c r="Q91" s="6"/>
      <c r="R91" s="39"/>
      <c r="S91" s="40"/>
      <c r="T91" s="41"/>
      <c r="U91" s="42"/>
      <c r="V91" s="6"/>
      <c r="W91" s="39"/>
      <c r="X91" s="14"/>
      <c r="Y91" s="14"/>
      <c r="Z91" s="14"/>
      <c r="AB91" s="135" t="s">
        <v>103</v>
      </c>
      <c r="AC91" s="121">
        <f t="shared" si="11"/>
        <v>0</v>
      </c>
      <c r="AD91" s="121">
        <f t="shared" si="10"/>
        <v>0</v>
      </c>
      <c r="AE91" s="122">
        <f t="shared" si="12"/>
        <v>0</v>
      </c>
    </row>
    <row r="92" spans="1:32" x14ac:dyDescent="0.35">
      <c r="N92" s="20" t="s">
        <v>103</v>
      </c>
      <c r="O92" s="37">
        <f>COUNTIF($T$66:$T$76,N92)</f>
        <v>0</v>
      </c>
      <c r="P92" s="38"/>
      <c r="Q92" s="6"/>
      <c r="R92" s="39"/>
      <c r="S92" s="40"/>
      <c r="T92" s="41"/>
      <c r="U92" s="42"/>
      <c r="V92" s="6"/>
      <c r="W92" s="39"/>
      <c r="X92" s="14"/>
      <c r="Y92" s="14"/>
      <c r="Z92" s="14"/>
    </row>
    <row r="93" spans="1:32" x14ac:dyDescent="0.35">
      <c r="N93" s="22" t="s">
        <v>36</v>
      </c>
      <c r="O93" s="23">
        <f>SUM(O89:O92)</f>
        <v>0</v>
      </c>
      <c r="P93" s="44" t="e">
        <f>AVERAGE(P89:P91)</f>
        <v>#DIV/0!</v>
      </c>
      <c r="Q93" s="6"/>
      <c r="R93" s="39"/>
      <c r="S93" s="40"/>
      <c r="T93" s="41"/>
      <c r="U93" s="42"/>
      <c r="V93" s="6"/>
      <c r="W93" s="39"/>
      <c r="X93" s="14"/>
      <c r="Y93" s="14"/>
      <c r="Z93" s="14"/>
    </row>
    <row r="94" spans="1:32" x14ac:dyDescent="0.35">
      <c r="N94" s="6"/>
      <c r="O94" s="6"/>
      <c r="P94" s="6"/>
      <c r="Q94" s="6"/>
      <c r="R94" s="39"/>
      <c r="S94" s="40"/>
      <c r="T94" s="28"/>
      <c r="U94" s="42"/>
      <c r="V94" s="6"/>
      <c r="W94" s="39"/>
      <c r="X94" s="14"/>
      <c r="Y94" s="14"/>
      <c r="Z94" s="14"/>
    </row>
    <row r="95" spans="1:32" x14ac:dyDescent="0.35">
      <c r="N95" s="6"/>
      <c r="O95" s="6"/>
      <c r="P95" s="6"/>
      <c r="Q95" s="6"/>
      <c r="R95" s="39"/>
      <c r="S95" s="40"/>
      <c r="T95" s="41"/>
      <c r="U95" s="42"/>
      <c r="V95" s="6"/>
      <c r="W95" s="39"/>
      <c r="X95" s="14"/>
      <c r="Y95" s="14"/>
      <c r="Z95" s="14"/>
    </row>
    <row r="96" spans="1:32" x14ac:dyDescent="0.35">
      <c r="N96" s="6"/>
      <c r="O96" s="6"/>
      <c r="P96" s="6"/>
      <c r="Q96" s="6"/>
      <c r="R96" s="39"/>
      <c r="S96" s="40"/>
      <c r="T96" s="41"/>
      <c r="U96" s="42"/>
      <c r="V96" s="6"/>
      <c r="W96" s="39"/>
      <c r="X96" s="14"/>
      <c r="Y96" s="14"/>
      <c r="Z96" s="14"/>
    </row>
    <row r="97" spans="14:26" x14ac:dyDescent="0.35">
      <c r="N97" s="6"/>
      <c r="O97" s="6"/>
      <c r="P97" s="6"/>
      <c r="Q97" s="6"/>
      <c r="R97" s="39"/>
      <c r="S97" s="40"/>
      <c r="T97" s="41"/>
      <c r="U97" s="42"/>
      <c r="V97" s="6"/>
      <c r="W97" s="39"/>
      <c r="X97" s="14"/>
      <c r="Y97" s="14"/>
      <c r="Z97" s="14"/>
    </row>
    <row r="98" spans="14:26" x14ac:dyDescent="0.35">
      <c r="N98" s="6"/>
      <c r="O98" s="6"/>
      <c r="P98" s="6"/>
      <c r="Q98" s="6"/>
      <c r="R98" s="6"/>
      <c r="S98" s="6"/>
      <c r="T98" s="6"/>
      <c r="U98" s="6"/>
      <c r="V98" s="6"/>
      <c r="W98" s="49" t="s">
        <v>36</v>
      </c>
      <c r="X98" s="50">
        <f>SUM(X87:X97)</f>
        <v>0</v>
      </c>
      <c r="Y98" s="50">
        <f>SUM(Y87:Y97)</f>
        <v>0</v>
      </c>
      <c r="Z98" s="50">
        <f>SUM(Z87:Z97)</f>
        <v>0</v>
      </c>
    </row>
  </sheetData>
  <mergeCells count="21">
    <mergeCell ref="AB41:AE41"/>
    <mergeCell ref="AB59:AE59"/>
    <mergeCell ref="AB60:AE60"/>
    <mergeCell ref="AB78:AE78"/>
    <mergeCell ref="AB79:AE79"/>
    <mergeCell ref="AB19:AE19"/>
    <mergeCell ref="AB20:AE20"/>
    <mergeCell ref="AB40:AE40"/>
    <mergeCell ref="R63:Z63"/>
    <mergeCell ref="A1:C1"/>
    <mergeCell ref="A4:E4"/>
    <mergeCell ref="G14:H14"/>
    <mergeCell ref="F3:J3"/>
    <mergeCell ref="A5:E5"/>
    <mergeCell ref="R4:Z4"/>
    <mergeCell ref="A3:E3"/>
    <mergeCell ref="A26:E26"/>
    <mergeCell ref="R25:Z25"/>
    <mergeCell ref="R44:Z44"/>
    <mergeCell ref="A45:E45"/>
    <mergeCell ref="A62:E62"/>
  </mergeCells>
  <dataValidations count="2">
    <dataValidation type="list" allowBlank="1" sqref="T47:T57 T28:T38 T66:T76 AB22:AB32 AB43:AB53 AB62:AB72 AB81:AB91 T87:T97" xr:uid="{6DF01C8F-224E-4D39-8C44-FF564436646F}">
      <formula1>"Porto, Osasco, Itaqua,Betim"</formula1>
    </dataValidation>
    <dataValidation type="list" allowBlank="1" sqref="T7:T17" xr:uid="{97DB2D77-6DCE-4C7C-A3AA-E7E43EE9C146}">
      <formula1>"Porto,Osasco,Itaqua,Betim"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6C2B-3813-4A4D-8B96-71445C382256}">
  <sheetPr>
    <tabColor rgb="FF00B0F0"/>
  </sheetPr>
  <dimension ref="A1:AF74"/>
  <sheetViews>
    <sheetView topLeftCell="Q18" workbookViewId="0">
      <selection activeCell="AB38" sqref="AB38:AE38"/>
    </sheetView>
  </sheetViews>
  <sheetFormatPr defaultRowHeight="14.5" x14ac:dyDescent="0.35"/>
  <cols>
    <col min="5" max="5" width="11.54296875" customWidth="1"/>
    <col min="8" max="8" width="10.26953125" customWidth="1"/>
    <col min="9" max="9" width="2.54296875" customWidth="1"/>
    <col min="11" max="11" width="11.54296875" customWidth="1"/>
    <col min="12" max="12" width="4.1796875" customWidth="1"/>
    <col min="13" max="13" width="20.7265625" bestFit="1" customWidth="1"/>
    <col min="14" max="14" width="11" bestFit="1" customWidth="1"/>
    <col min="15" max="15" width="14.453125" customWidth="1"/>
    <col min="16" max="16" width="4.453125" customWidth="1"/>
    <col min="17" max="17" width="18.26953125" bestFit="1" customWidth="1"/>
    <col min="19" max="19" width="9.453125" bestFit="1" customWidth="1"/>
    <col min="20" max="20" width="14.1796875" bestFit="1" customWidth="1"/>
    <col min="24" max="24" width="11.54296875" bestFit="1" customWidth="1"/>
    <col min="25" max="25" width="10.453125" bestFit="1" customWidth="1"/>
    <col min="28" max="28" width="8.81640625" customWidth="1"/>
    <col min="30" max="30" width="12.26953125" customWidth="1"/>
    <col min="31" max="31" width="13.26953125" customWidth="1"/>
  </cols>
  <sheetData>
    <row r="1" spans="1:32" x14ac:dyDescent="0.35">
      <c r="A1" s="102" t="s">
        <v>81</v>
      </c>
      <c r="B1" s="102"/>
      <c r="C1" s="102"/>
      <c r="AF1" s="6"/>
    </row>
    <row r="2" spans="1:32" x14ac:dyDescent="0.35">
      <c r="AF2" s="6"/>
    </row>
    <row r="3" spans="1:32" x14ac:dyDescent="0.35">
      <c r="A3" s="110" t="s">
        <v>97</v>
      </c>
      <c r="B3" s="110"/>
      <c r="C3" s="110"/>
      <c r="D3" s="110"/>
      <c r="E3" s="110"/>
      <c r="F3" s="110"/>
      <c r="G3" s="110"/>
      <c r="H3" s="110"/>
      <c r="I3" s="110"/>
      <c r="J3" s="110"/>
      <c r="K3" s="65"/>
      <c r="L3" s="65"/>
      <c r="M3" s="65"/>
      <c r="N3" s="65" t="s">
        <v>107</v>
      </c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F3" s="6"/>
    </row>
    <row r="4" spans="1:32" x14ac:dyDescent="0.35">
      <c r="A4" s="109" t="s">
        <v>108</v>
      </c>
      <c r="B4" s="109"/>
      <c r="C4" s="109"/>
      <c r="D4" s="10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96" t="s">
        <v>35</v>
      </c>
      <c r="R4" s="96"/>
      <c r="S4" s="96"/>
      <c r="T4" s="96"/>
      <c r="U4" s="96"/>
      <c r="V4" s="96"/>
      <c r="W4" s="96"/>
      <c r="X4" s="96"/>
      <c r="Y4" s="96"/>
      <c r="Z4" s="6"/>
      <c r="AA4" s="6"/>
      <c r="AB4" s="6"/>
      <c r="AC4" s="6"/>
      <c r="AD4" s="6"/>
      <c r="AE4" s="6"/>
      <c r="AF4" s="6"/>
    </row>
    <row r="5" spans="1:32" x14ac:dyDescent="0.35">
      <c r="A5" s="96" t="s">
        <v>35</v>
      </c>
      <c r="B5" s="96"/>
      <c r="C5" s="96"/>
      <c r="D5" s="96"/>
      <c r="E5" s="9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2" t="s">
        <v>68</v>
      </c>
      <c r="R5" s="2"/>
      <c r="S5" s="2"/>
      <c r="T5" s="2"/>
      <c r="U5" s="6"/>
      <c r="V5" s="52" t="s">
        <v>69</v>
      </c>
      <c r="W5" s="52"/>
      <c r="X5" s="52"/>
      <c r="Y5" s="52"/>
      <c r="Z5" s="6"/>
      <c r="AA5" s="6"/>
      <c r="AB5" s="6"/>
      <c r="AC5" s="6"/>
      <c r="AD5" s="6"/>
      <c r="AE5" s="6"/>
      <c r="AF5" s="6"/>
    </row>
    <row r="6" spans="1:32" ht="20.5" customHeight="1" x14ac:dyDescent="0.35">
      <c r="A6" s="10" t="s">
        <v>13</v>
      </c>
      <c r="B6" s="10" t="s">
        <v>10</v>
      </c>
      <c r="C6" s="6"/>
      <c r="D6" s="10" t="s">
        <v>13</v>
      </c>
      <c r="E6" s="10" t="s">
        <v>11</v>
      </c>
      <c r="F6" s="6"/>
      <c r="H6" s="6"/>
      <c r="I6" s="6"/>
      <c r="J6" s="6"/>
      <c r="K6" s="6"/>
      <c r="L6" s="6"/>
      <c r="M6" s="52" t="s">
        <v>67</v>
      </c>
      <c r="N6" s="52"/>
      <c r="O6" s="52"/>
      <c r="P6" s="6"/>
      <c r="Q6" s="36" t="s">
        <v>73</v>
      </c>
      <c r="R6" s="36" t="s">
        <v>9</v>
      </c>
      <c r="S6" s="36" t="s">
        <v>70</v>
      </c>
      <c r="T6" s="36" t="s">
        <v>74</v>
      </c>
      <c r="U6" s="6"/>
      <c r="V6" s="10" t="s">
        <v>75</v>
      </c>
      <c r="W6" s="10" t="s">
        <v>76</v>
      </c>
      <c r="X6" s="10" t="s">
        <v>57</v>
      </c>
      <c r="Y6" s="10" t="s">
        <v>58</v>
      </c>
      <c r="Z6" s="6"/>
      <c r="AA6" s="6"/>
      <c r="AB6" s="6"/>
      <c r="AC6" s="6"/>
      <c r="AD6" s="6"/>
      <c r="AE6" s="6"/>
      <c r="AF6" s="6"/>
    </row>
    <row r="7" spans="1:32" ht="15.65" customHeight="1" x14ac:dyDescent="0.35">
      <c r="A7" s="13" t="s">
        <v>25</v>
      </c>
      <c r="B7" s="21">
        <v>56</v>
      </c>
      <c r="C7" s="6"/>
      <c r="D7" s="13" t="s">
        <v>25</v>
      </c>
      <c r="E7" s="21">
        <v>150</v>
      </c>
      <c r="F7" s="6"/>
      <c r="G7" s="6"/>
      <c r="H7" s="6"/>
      <c r="I7" s="6"/>
      <c r="J7" s="6"/>
      <c r="K7" s="6"/>
      <c r="L7" s="6"/>
      <c r="M7" s="10" t="s">
        <v>70</v>
      </c>
      <c r="N7" s="10" t="s">
        <v>71</v>
      </c>
      <c r="O7" s="10" t="s">
        <v>72</v>
      </c>
      <c r="P7" s="6"/>
      <c r="Q7" s="39">
        <v>10395</v>
      </c>
      <c r="R7" s="40">
        <v>46266</v>
      </c>
      <c r="S7" s="41" t="s">
        <v>81</v>
      </c>
      <c r="T7" s="42">
        <v>0.58930000000000005</v>
      </c>
      <c r="U7" s="6"/>
      <c r="V7" s="39">
        <v>10395</v>
      </c>
      <c r="W7" s="14">
        <v>101088</v>
      </c>
      <c r="X7" s="14">
        <v>14809</v>
      </c>
      <c r="Y7" s="14">
        <v>384</v>
      </c>
      <c r="Z7" s="6"/>
      <c r="AA7" s="6"/>
      <c r="AB7" s="6"/>
      <c r="AC7" s="6"/>
      <c r="AD7" s="6"/>
      <c r="AE7" s="6"/>
      <c r="AF7" s="6"/>
    </row>
    <row r="8" spans="1:32" x14ac:dyDescent="0.35">
      <c r="A8" s="20" t="s">
        <v>23</v>
      </c>
      <c r="B8" s="21">
        <v>61</v>
      </c>
      <c r="C8" s="6"/>
      <c r="D8" s="20" t="s">
        <v>23</v>
      </c>
      <c r="E8" s="21">
        <v>60</v>
      </c>
      <c r="F8" s="6"/>
      <c r="G8" s="6"/>
      <c r="H8" s="6"/>
      <c r="I8" s="6"/>
      <c r="J8" s="6"/>
      <c r="K8" s="6"/>
      <c r="L8" s="6"/>
      <c r="M8" s="20" t="s">
        <v>81</v>
      </c>
      <c r="N8" s="37">
        <f>COUNTIF($S$7:$S$14,M8)</f>
        <v>2</v>
      </c>
      <c r="O8" s="38">
        <f>AVERAGE(T7:T14)</f>
        <v>0.59275</v>
      </c>
      <c r="P8" s="6"/>
      <c r="Q8" s="39">
        <v>10396</v>
      </c>
      <c r="R8" s="40">
        <v>46266</v>
      </c>
      <c r="S8" s="41" t="s">
        <v>81</v>
      </c>
      <c r="T8" s="42">
        <v>0.59619999999999995</v>
      </c>
      <c r="U8" s="6"/>
      <c r="V8" s="39">
        <v>10396</v>
      </c>
      <c r="W8" s="14">
        <v>103527</v>
      </c>
      <c r="X8" s="14">
        <v>12863</v>
      </c>
      <c r="Y8" s="14">
        <v>331</v>
      </c>
      <c r="Z8" s="6"/>
      <c r="AA8" s="6"/>
      <c r="AB8" s="6"/>
      <c r="AC8" s="6"/>
      <c r="AD8" s="6"/>
      <c r="AE8" s="6"/>
      <c r="AF8" s="6"/>
    </row>
    <row r="9" spans="1:32" x14ac:dyDescent="0.35">
      <c r="A9" s="20" t="s">
        <v>21</v>
      </c>
      <c r="B9" s="21">
        <v>161</v>
      </c>
      <c r="C9" s="6"/>
      <c r="D9" s="20" t="s">
        <v>21</v>
      </c>
      <c r="E9" s="21">
        <v>49</v>
      </c>
      <c r="F9" s="6"/>
      <c r="G9" s="6"/>
      <c r="H9" s="6"/>
      <c r="I9" s="6"/>
      <c r="J9" s="6"/>
      <c r="K9" s="6"/>
      <c r="L9" s="6"/>
      <c r="M9" s="20"/>
      <c r="N9" s="37"/>
      <c r="O9" s="38"/>
      <c r="P9" s="6"/>
      <c r="Q9" s="6"/>
      <c r="R9" s="6"/>
      <c r="S9" s="6"/>
      <c r="T9" s="6"/>
      <c r="U9" s="6"/>
      <c r="V9" s="39"/>
      <c r="W9" s="14"/>
      <c r="X9" s="14"/>
      <c r="Y9" s="14"/>
      <c r="Z9" s="6"/>
      <c r="AA9" s="6"/>
      <c r="AB9" s="6"/>
      <c r="AC9" s="6"/>
      <c r="AD9" s="6"/>
      <c r="AE9" s="6"/>
      <c r="AF9" s="6"/>
    </row>
    <row r="10" spans="1:32" x14ac:dyDescent="0.35">
      <c r="B10" s="66">
        <f>SUMPRODUCT(B7:B9)</f>
        <v>278</v>
      </c>
      <c r="C10" s="6"/>
      <c r="D10" s="6"/>
      <c r="E10" s="66">
        <f>SUMPRODUCT(E7:E9)</f>
        <v>259</v>
      </c>
      <c r="F10" s="6"/>
      <c r="G10" s="6"/>
      <c r="H10" s="6"/>
      <c r="I10" s="6"/>
      <c r="J10" s="6"/>
      <c r="K10" s="6"/>
      <c r="L10" s="6"/>
      <c r="M10" s="20"/>
      <c r="N10" s="37"/>
      <c r="O10" s="38"/>
      <c r="P10" s="6"/>
      <c r="Q10" s="6"/>
      <c r="R10" s="6"/>
      <c r="S10" s="6"/>
      <c r="T10" s="6"/>
      <c r="U10" s="6"/>
      <c r="V10" s="39"/>
      <c r="W10" s="14"/>
      <c r="X10" s="14"/>
      <c r="Y10" s="14"/>
      <c r="Z10" s="6"/>
      <c r="AA10" s="6"/>
      <c r="AB10" s="6"/>
      <c r="AC10" s="6"/>
      <c r="AD10" s="6"/>
      <c r="AE10" s="6"/>
      <c r="AF10" s="6"/>
    </row>
    <row r="11" spans="1:32" x14ac:dyDescent="0.35">
      <c r="A11" s="6"/>
      <c r="C11" s="6"/>
      <c r="D11" s="6"/>
      <c r="F11" s="6"/>
      <c r="G11" s="6"/>
      <c r="H11" s="6"/>
      <c r="I11" s="6"/>
      <c r="J11" s="6"/>
      <c r="K11" s="6"/>
      <c r="L11" s="6"/>
      <c r="M11" s="22" t="s">
        <v>36</v>
      </c>
      <c r="N11" s="23">
        <f ca="1">SUM(N8:N11)</f>
        <v>0</v>
      </c>
      <c r="O11" s="44">
        <f>AVERAGE(O8:O10)</f>
        <v>0.59275</v>
      </c>
      <c r="P11" s="6"/>
      <c r="Q11" s="6"/>
      <c r="R11" s="6"/>
      <c r="S11" s="6"/>
      <c r="T11" s="6"/>
      <c r="U11" s="6"/>
      <c r="V11" s="39"/>
      <c r="W11" s="14"/>
      <c r="X11" s="14"/>
      <c r="Y11" s="14"/>
      <c r="Z11" s="6"/>
      <c r="AA11" s="6"/>
      <c r="AB11" s="6"/>
      <c r="AC11" s="6"/>
      <c r="AD11" s="6"/>
      <c r="AE11" s="6"/>
      <c r="AF11" s="6"/>
    </row>
    <row r="12" spans="1:32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39"/>
      <c r="W12" s="14"/>
      <c r="X12" s="14"/>
      <c r="Y12" s="14"/>
      <c r="Z12" s="6"/>
      <c r="AA12" s="6"/>
      <c r="AB12" s="6"/>
      <c r="AC12" s="6"/>
      <c r="AD12" s="6"/>
      <c r="AE12" s="6"/>
      <c r="AF12" s="6"/>
    </row>
    <row r="13" spans="1:32" x14ac:dyDescent="0.35">
      <c r="A13" s="6"/>
      <c r="B13" s="6"/>
      <c r="C13" s="6"/>
      <c r="D13" s="6"/>
      <c r="E13" s="6"/>
      <c r="F13" s="6"/>
      <c r="G13" s="98" t="s">
        <v>4</v>
      </c>
      <c r="H13" s="98"/>
      <c r="I13" s="6"/>
      <c r="J13" s="1" t="s">
        <v>4</v>
      </c>
      <c r="K13" s="1"/>
      <c r="L13" s="6"/>
      <c r="M13" s="6"/>
      <c r="N13" s="6"/>
      <c r="O13" s="6"/>
      <c r="P13" s="6"/>
      <c r="Q13" s="6"/>
      <c r="R13" s="6"/>
      <c r="S13" s="6"/>
      <c r="T13" s="6"/>
      <c r="U13" s="6"/>
      <c r="V13" s="39"/>
      <c r="W13" s="14"/>
      <c r="X13" s="14"/>
      <c r="Y13" s="14"/>
      <c r="Z13" s="6"/>
      <c r="AA13" s="6"/>
      <c r="AB13" s="6"/>
      <c r="AC13" s="6"/>
      <c r="AD13" s="6"/>
      <c r="AE13" s="6"/>
      <c r="AF13" s="6"/>
    </row>
    <row r="14" spans="1:32" x14ac:dyDescent="0.35">
      <c r="A14" s="6"/>
      <c r="B14" s="6"/>
      <c r="C14" s="6"/>
      <c r="D14" s="6"/>
      <c r="E14" s="6"/>
      <c r="F14" s="6"/>
      <c r="G14" s="36" t="s">
        <v>13</v>
      </c>
      <c r="H14" s="36" t="s">
        <v>10</v>
      </c>
      <c r="I14" s="6"/>
      <c r="J14" s="36" t="s">
        <v>13</v>
      </c>
      <c r="K14" s="36" t="s">
        <v>11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39"/>
      <c r="W14" s="14"/>
      <c r="X14" s="14"/>
      <c r="Y14" s="14"/>
      <c r="Z14" s="6"/>
      <c r="AA14" s="6"/>
      <c r="AB14" s="6"/>
      <c r="AC14" s="6"/>
      <c r="AD14" s="6"/>
      <c r="AE14" s="6"/>
      <c r="AF14" s="6"/>
    </row>
    <row r="15" spans="1:32" x14ac:dyDescent="0.35">
      <c r="A15" s="6"/>
      <c r="B15" s="6"/>
      <c r="C15" s="6"/>
      <c r="D15" s="6"/>
      <c r="E15" s="6"/>
      <c r="F15" s="6"/>
      <c r="G15" s="13" t="s">
        <v>25</v>
      </c>
      <c r="H15" s="74">
        <f>IFERROR((B22-B7)/B7,"")</f>
        <v>-0.30357142857142855</v>
      </c>
      <c r="I15" s="6"/>
      <c r="J15" s="13" t="s">
        <v>25</v>
      </c>
      <c r="K15" s="76">
        <f t="shared" ref="K15" si="0">IFERROR((E22-E7)/E7,"")</f>
        <v>-0.77333333333333332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39"/>
      <c r="W15" s="14"/>
      <c r="X15" s="14"/>
      <c r="Y15" s="14"/>
      <c r="Z15" s="6"/>
      <c r="AA15" s="6"/>
      <c r="AB15" s="6"/>
      <c r="AC15" s="6"/>
      <c r="AD15" s="6"/>
      <c r="AE15" s="6"/>
      <c r="AF15" s="6"/>
    </row>
    <row r="16" spans="1:32" x14ac:dyDescent="0.35">
      <c r="A16" s="6"/>
      <c r="B16" s="6"/>
      <c r="C16" s="6"/>
      <c r="D16" s="6"/>
      <c r="E16" s="6"/>
      <c r="F16" s="6"/>
      <c r="G16" s="20" t="s">
        <v>23</v>
      </c>
      <c r="H16" s="76">
        <f>IFERROR((B23-B8)/B8,"")</f>
        <v>-0.19672131147540983</v>
      </c>
      <c r="I16" s="6"/>
      <c r="J16" s="20" t="s">
        <v>23</v>
      </c>
      <c r="K16" s="76">
        <f>IFERROR((E23-E8)/E8,"")</f>
        <v>-0.16666666666666666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49" t="s">
        <v>36</v>
      </c>
      <c r="W16" s="50">
        <f>SUM(W7:W15)</f>
        <v>204615</v>
      </c>
      <c r="X16" s="50">
        <f>SUM(X7:X15)</f>
        <v>27672</v>
      </c>
      <c r="Y16" s="50">
        <f>SUM(Y7:Y15)</f>
        <v>715</v>
      </c>
      <c r="Z16" s="6"/>
      <c r="AA16" s="6"/>
      <c r="AB16" s="6"/>
      <c r="AC16" s="6"/>
      <c r="AD16" s="6"/>
      <c r="AE16" s="6"/>
      <c r="AF16" s="6"/>
    </row>
    <row r="17" spans="1:32" x14ac:dyDescent="0.35">
      <c r="A17" s="6"/>
      <c r="B17" s="6"/>
      <c r="C17" s="6"/>
      <c r="D17" s="6"/>
      <c r="E17" s="6"/>
      <c r="F17" s="6"/>
      <c r="G17" s="20" t="s">
        <v>21</v>
      </c>
      <c r="H17" s="76">
        <f>IFERROR((B24-B9)/B9,"")</f>
        <v>-0.13664596273291926</v>
      </c>
      <c r="I17" s="6"/>
      <c r="J17" s="20" t="s">
        <v>21</v>
      </c>
      <c r="K17" s="76">
        <f>IFERROR((E24-E9)/E9,"")</f>
        <v>1.6326530612244898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23" t="s">
        <v>35</v>
      </c>
      <c r="AC17" s="124"/>
      <c r="AD17" s="124"/>
      <c r="AE17" s="125"/>
      <c r="AF17" s="6"/>
    </row>
    <row r="18" spans="1:32" x14ac:dyDescent="0.35">
      <c r="A18" s="6"/>
      <c r="B18" s="6"/>
      <c r="C18" s="6"/>
      <c r="D18" s="6"/>
      <c r="E18" s="6"/>
      <c r="F18" s="6"/>
      <c r="G18" s="77" t="s">
        <v>104</v>
      </c>
      <c r="H18" s="78">
        <f>IFERROR((B25-B10)/B10,"")</f>
        <v>-0.18345323741007194</v>
      </c>
      <c r="J18" s="77" t="s">
        <v>33</v>
      </c>
      <c r="K18" s="78">
        <f>IFERROR((E25-E10)/E10,"")</f>
        <v>-0.17760617760617761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126" t="s">
        <v>82</v>
      </c>
      <c r="AC18" s="108"/>
      <c r="AD18" s="108"/>
      <c r="AE18" s="127"/>
      <c r="AF18" s="6"/>
    </row>
    <row r="19" spans="1:32" ht="21.5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28" t="s">
        <v>83</v>
      </c>
      <c r="AC19" s="36" t="s">
        <v>76</v>
      </c>
      <c r="AD19" s="36" t="s">
        <v>57</v>
      </c>
      <c r="AE19" s="129" t="s">
        <v>58</v>
      </c>
      <c r="AF19" s="6"/>
    </row>
    <row r="20" spans="1:32" ht="11.5" customHeight="1" x14ac:dyDescent="0.35">
      <c r="A20" s="111" t="s">
        <v>106</v>
      </c>
      <c r="B20" s="111"/>
      <c r="C20" s="111"/>
      <c r="D20" s="111"/>
      <c r="E20" s="111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96" t="s">
        <v>86</v>
      </c>
      <c r="R20" s="96"/>
      <c r="S20" s="96"/>
      <c r="T20" s="96"/>
      <c r="U20" s="96"/>
      <c r="V20" s="96"/>
      <c r="W20" s="96"/>
      <c r="X20" s="96"/>
      <c r="Y20" s="96"/>
      <c r="Z20" s="6"/>
      <c r="AA20" s="6"/>
      <c r="AB20" s="115" t="s">
        <v>81</v>
      </c>
      <c r="AC20" s="116">
        <f>W23-W7</f>
        <v>-28845</v>
      </c>
      <c r="AD20" s="116">
        <f t="shared" ref="AD20:AE20" si="1">X23-X7</f>
        <v>-6040</v>
      </c>
      <c r="AE20" s="117">
        <f t="shared" si="1"/>
        <v>-211</v>
      </c>
      <c r="AF20" s="6"/>
    </row>
    <row r="21" spans="1:32" ht="17.5" customHeight="1" x14ac:dyDescent="0.35">
      <c r="A21" s="10" t="s">
        <v>13</v>
      </c>
      <c r="B21" s="10" t="s">
        <v>10</v>
      </c>
      <c r="C21" s="6"/>
      <c r="D21" s="10" t="s">
        <v>13</v>
      </c>
      <c r="E21" s="10" t="s">
        <v>11</v>
      </c>
      <c r="F21" s="6"/>
      <c r="G21" s="6"/>
      <c r="H21" s="6"/>
      <c r="I21" s="6"/>
      <c r="J21" s="6"/>
      <c r="K21" s="6"/>
      <c r="L21" s="6"/>
      <c r="M21" s="52" t="s">
        <v>67</v>
      </c>
      <c r="N21" s="52"/>
      <c r="O21" s="52"/>
      <c r="P21" s="6"/>
      <c r="Q21" s="2" t="s">
        <v>68</v>
      </c>
      <c r="R21" s="2"/>
      <c r="S21" s="2"/>
      <c r="T21" s="2"/>
      <c r="U21" s="6"/>
      <c r="V21" s="52" t="s">
        <v>69</v>
      </c>
      <c r="W21" s="52"/>
      <c r="X21" s="52"/>
      <c r="Y21" s="52"/>
      <c r="Z21" s="6"/>
      <c r="AA21" s="6"/>
      <c r="AB21" s="115" t="s">
        <v>81</v>
      </c>
      <c r="AC21" s="130">
        <f>W24-W8</f>
        <v>-40757</v>
      </c>
      <c r="AD21" s="130">
        <f t="shared" ref="AD21:AE21" si="2">X24-X8</f>
        <v>-5986</v>
      </c>
      <c r="AE21" s="131">
        <f t="shared" si="2"/>
        <v>-258</v>
      </c>
      <c r="AF21" s="6"/>
    </row>
    <row r="22" spans="1:32" ht="14.5" customHeight="1" x14ac:dyDescent="0.35">
      <c r="A22" s="13" t="s">
        <v>25</v>
      </c>
      <c r="B22" s="14">
        <v>39</v>
      </c>
      <c r="C22" s="6"/>
      <c r="D22" s="13" t="s">
        <v>25</v>
      </c>
      <c r="E22" s="14">
        <v>34</v>
      </c>
      <c r="F22" s="6"/>
      <c r="G22" s="6"/>
      <c r="I22" s="6"/>
      <c r="J22" s="6"/>
      <c r="K22" s="6"/>
      <c r="L22" s="6"/>
      <c r="M22" s="10" t="s">
        <v>70</v>
      </c>
      <c r="N22" s="10" t="s">
        <v>71</v>
      </c>
      <c r="O22" s="10" t="s">
        <v>72</v>
      </c>
      <c r="P22" s="6"/>
      <c r="Q22" s="36" t="s">
        <v>73</v>
      </c>
      <c r="R22" s="36" t="s">
        <v>9</v>
      </c>
      <c r="S22" s="36" t="s">
        <v>70</v>
      </c>
      <c r="T22" s="36" t="s">
        <v>74</v>
      </c>
      <c r="U22" s="6"/>
      <c r="V22" s="10" t="s">
        <v>75</v>
      </c>
      <c r="W22" s="10" t="s">
        <v>76</v>
      </c>
      <c r="X22" s="10" t="s">
        <v>57</v>
      </c>
      <c r="Y22" s="10" t="s">
        <v>58</v>
      </c>
      <c r="Z22" s="6"/>
      <c r="AA22" s="6"/>
      <c r="AB22" s="6"/>
      <c r="AC22" s="6"/>
      <c r="AD22" s="6"/>
      <c r="AE22" s="6"/>
      <c r="AF22" s="6"/>
    </row>
    <row r="23" spans="1:32" x14ac:dyDescent="0.35">
      <c r="A23" s="20" t="s">
        <v>23</v>
      </c>
      <c r="B23" s="14">
        <v>49</v>
      </c>
      <c r="C23" s="6"/>
      <c r="D23" s="20" t="s">
        <v>23</v>
      </c>
      <c r="E23" s="21">
        <v>50</v>
      </c>
      <c r="F23" s="6"/>
      <c r="G23" s="6"/>
      <c r="H23" s="6"/>
      <c r="I23" s="6"/>
      <c r="J23" s="6"/>
      <c r="K23" s="6"/>
      <c r="L23" s="6"/>
      <c r="M23" s="20" t="s">
        <v>81</v>
      </c>
      <c r="N23" s="37">
        <f>COUNTIF($S$23:$S$30,M23)</f>
        <v>2</v>
      </c>
      <c r="O23" s="38">
        <f>AVERAGE(T23:T30)</f>
        <v>0.54935</v>
      </c>
      <c r="P23" s="6"/>
      <c r="Q23" s="39">
        <v>10412</v>
      </c>
      <c r="R23" s="40">
        <v>46273</v>
      </c>
      <c r="S23" s="41" t="s">
        <v>81</v>
      </c>
      <c r="T23" s="42">
        <v>0.52659999999999996</v>
      </c>
      <c r="U23" s="6"/>
      <c r="V23" s="39">
        <v>10412</v>
      </c>
      <c r="W23" s="21">
        <v>72243</v>
      </c>
      <c r="X23" s="21">
        <v>8769</v>
      </c>
      <c r="Y23" s="21">
        <v>173</v>
      </c>
      <c r="Z23" s="6"/>
      <c r="AA23" s="6"/>
      <c r="AB23" s="6"/>
      <c r="AC23" s="6"/>
      <c r="AD23" s="6"/>
      <c r="AE23" s="6"/>
      <c r="AF23" s="6"/>
    </row>
    <row r="24" spans="1:32" x14ac:dyDescent="0.35">
      <c r="A24" s="20" t="s">
        <v>21</v>
      </c>
      <c r="B24" s="14">
        <v>139</v>
      </c>
      <c r="C24" s="6"/>
      <c r="D24" s="20" t="s">
        <v>21</v>
      </c>
      <c r="E24" s="21">
        <v>129</v>
      </c>
      <c r="F24" s="6"/>
      <c r="G24" s="6"/>
      <c r="H24" s="6"/>
      <c r="J24" s="6"/>
      <c r="K24" s="6"/>
      <c r="L24" s="6"/>
      <c r="M24" s="20"/>
      <c r="N24" s="37"/>
      <c r="O24" s="38"/>
      <c r="P24" s="6"/>
      <c r="Q24" s="39">
        <v>10413</v>
      </c>
      <c r="R24" s="40">
        <v>46273</v>
      </c>
      <c r="S24" s="41" t="s">
        <v>81</v>
      </c>
      <c r="T24" s="42">
        <v>0.57210000000000005</v>
      </c>
      <c r="U24" s="6"/>
      <c r="V24" s="39">
        <v>10413</v>
      </c>
      <c r="W24" s="21">
        <v>62770</v>
      </c>
      <c r="X24" s="21">
        <v>6877</v>
      </c>
      <c r="Y24" s="21">
        <v>73</v>
      </c>
      <c r="Z24" s="6"/>
      <c r="AA24" s="6"/>
      <c r="AB24" s="6"/>
      <c r="AC24" s="6"/>
      <c r="AD24" s="6"/>
      <c r="AE24" s="6"/>
      <c r="AF24" s="6"/>
    </row>
    <row r="25" spans="1:32" x14ac:dyDescent="0.35">
      <c r="B25" s="66">
        <f>SUMPRODUCT(B22:B24)</f>
        <v>227</v>
      </c>
      <c r="C25" s="6"/>
      <c r="E25" s="66">
        <f>SUMPRODUCT(E22:E24)</f>
        <v>213</v>
      </c>
      <c r="F25" s="6"/>
      <c r="G25" s="6"/>
      <c r="H25" s="6"/>
      <c r="I25" s="6"/>
      <c r="J25" s="6"/>
      <c r="K25" s="6"/>
      <c r="L25" s="6"/>
      <c r="M25" s="20"/>
      <c r="N25" s="37"/>
      <c r="O25" s="38"/>
      <c r="P25" s="6"/>
      <c r="Q25" s="39"/>
      <c r="R25" s="40"/>
      <c r="S25" s="41"/>
      <c r="T25" s="42"/>
      <c r="U25" s="6"/>
      <c r="V25" s="39"/>
      <c r="W25" s="14"/>
      <c r="X25" s="14"/>
      <c r="Y25" s="14"/>
      <c r="Z25" s="6"/>
      <c r="AA25" s="6"/>
      <c r="AB25" s="6"/>
      <c r="AC25" s="6"/>
      <c r="AD25" s="6"/>
      <c r="AE25" s="6"/>
      <c r="AF25" s="6"/>
    </row>
    <row r="26" spans="1:3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22" t="s">
        <v>36</v>
      </c>
      <c r="N26" s="23">
        <f ca="1">SUM(N23:N26)</f>
        <v>0</v>
      </c>
      <c r="O26" s="44">
        <f>AVERAGE(O23:O25)</f>
        <v>0.54935</v>
      </c>
      <c r="P26" s="6"/>
      <c r="Q26" s="67"/>
      <c r="R26" s="68"/>
      <c r="S26" s="69"/>
      <c r="T26" s="70"/>
      <c r="U26" s="6"/>
      <c r="V26" s="39"/>
      <c r="W26" s="14"/>
      <c r="X26" s="14"/>
      <c r="Y26" s="14"/>
      <c r="Z26" s="6"/>
      <c r="AA26" s="6"/>
      <c r="AB26" s="6"/>
      <c r="AC26" s="6"/>
      <c r="AD26" s="6"/>
      <c r="AE26" s="6"/>
      <c r="AF26" s="6"/>
    </row>
    <row r="27" spans="1:3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7"/>
      <c r="R27" s="68"/>
      <c r="S27" s="69"/>
      <c r="T27" s="70"/>
      <c r="U27" s="6"/>
      <c r="V27" s="39"/>
      <c r="W27" s="14"/>
      <c r="X27" s="14"/>
      <c r="Y27" s="14"/>
      <c r="Z27" s="6"/>
      <c r="AA27" s="6"/>
      <c r="AB27" s="6"/>
      <c r="AC27" s="6"/>
      <c r="AD27" s="6"/>
      <c r="AE27" s="6"/>
      <c r="AF27" s="6"/>
    </row>
    <row r="28" spans="1:32" x14ac:dyDescent="0.35">
      <c r="A28" s="6"/>
      <c r="B28" s="6"/>
      <c r="C28" s="6"/>
      <c r="D28" s="6"/>
      <c r="E28" s="6"/>
      <c r="F28" s="6"/>
      <c r="G28" s="98" t="s">
        <v>4</v>
      </c>
      <c r="H28" s="98"/>
      <c r="I28" s="6"/>
      <c r="J28" s="1" t="s">
        <v>4</v>
      </c>
      <c r="K28" s="1"/>
      <c r="L28" s="6"/>
      <c r="M28" s="6"/>
      <c r="N28" s="6"/>
      <c r="O28" s="6"/>
      <c r="P28" s="6"/>
      <c r="Q28" s="39"/>
      <c r="R28" s="40"/>
      <c r="S28" s="41"/>
      <c r="T28" s="42"/>
      <c r="U28" s="6"/>
      <c r="V28" s="39"/>
      <c r="W28" s="14"/>
      <c r="X28" s="14"/>
      <c r="Y28" s="14"/>
      <c r="Z28" s="6"/>
      <c r="AA28" s="6"/>
      <c r="AB28" s="6"/>
      <c r="AC28" s="6"/>
      <c r="AD28" s="6"/>
      <c r="AE28" s="6"/>
      <c r="AF28" s="6"/>
    </row>
    <row r="29" spans="1:32" x14ac:dyDescent="0.35">
      <c r="A29" s="6"/>
      <c r="B29" s="6"/>
      <c r="C29" s="6"/>
      <c r="D29" s="6"/>
      <c r="E29" s="6"/>
      <c r="F29" s="6"/>
      <c r="G29" s="36" t="s">
        <v>13</v>
      </c>
      <c r="H29" s="36" t="s">
        <v>10</v>
      </c>
      <c r="I29" s="6"/>
      <c r="J29" s="36" t="s">
        <v>13</v>
      </c>
      <c r="K29" s="36" t="s">
        <v>11</v>
      </c>
      <c r="L29" s="6"/>
      <c r="M29" s="6"/>
      <c r="N29" s="6"/>
      <c r="O29" s="6"/>
      <c r="P29" s="6"/>
      <c r="Q29" s="45"/>
      <c r="R29" s="46"/>
      <c r="S29" s="28"/>
      <c r="T29" s="47"/>
      <c r="U29" s="6"/>
      <c r="V29" s="39"/>
      <c r="W29" s="14"/>
      <c r="X29" s="14"/>
      <c r="Y29" s="14"/>
      <c r="Z29" s="6"/>
      <c r="AA29" s="6"/>
      <c r="AB29" s="6"/>
      <c r="AC29" s="6"/>
      <c r="AD29" s="6"/>
      <c r="AE29" s="6"/>
      <c r="AF29" s="6"/>
    </row>
    <row r="30" spans="1:32" x14ac:dyDescent="0.35">
      <c r="A30" s="6"/>
      <c r="B30" s="6"/>
      <c r="C30" s="6"/>
      <c r="D30" s="6"/>
      <c r="E30" s="6"/>
      <c r="F30" s="6"/>
      <c r="G30" s="13" t="s">
        <v>25</v>
      </c>
      <c r="H30" s="74">
        <f>IFERROR((B37-B22)/B22,"")</f>
        <v>-1</v>
      </c>
      <c r="I30" s="6"/>
      <c r="J30" s="13" t="s">
        <v>25</v>
      </c>
      <c r="K30" s="74">
        <f>IFERROR((E37-E22)/E22,"")</f>
        <v>-1</v>
      </c>
      <c r="L30" s="6"/>
      <c r="M30" s="6"/>
      <c r="N30" s="6"/>
      <c r="O30" s="6"/>
      <c r="P30" s="6"/>
      <c r="Q30" s="39"/>
      <c r="R30" s="40"/>
      <c r="S30" s="41"/>
      <c r="T30" s="42"/>
      <c r="U30" s="6"/>
      <c r="V30" s="39"/>
      <c r="W30" s="14"/>
      <c r="X30" s="14"/>
      <c r="Y30" s="14"/>
      <c r="Z30" s="6"/>
      <c r="AA30" s="6"/>
      <c r="AB30" s="6"/>
      <c r="AC30" s="6"/>
      <c r="AD30" s="6"/>
      <c r="AE30" s="6"/>
      <c r="AF30" s="6"/>
    </row>
    <row r="31" spans="1:32" x14ac:dyDescent="0.35">
      <c r="A31" s="6"/>
      <c r="B31" s="6"/>
      <c r="D31" s="6"/>
      <c r="E31" s="6"/>
      <c r="F31" s="6"/>
      <c r="G31" s="20" t="s">
        <v>23</v>
      </c>
      <c r="H31" s="76">
        <f>IFERROR((B38-B22)/B22,"")</f>
        <v>-1</v>
      </c>
      <c r="I31" s="6"/>
      <c r="J31" s="20" t="s">
        <v>23</v>
      </c>
      <c r="K31" s="76">
        <f>IFERROR((E38-E23)/E23,"")</f>
        <v>-1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39"/>
      <c r="W31" s="14"/>
      <c r="X31" s="14"/>
      <c r="Y31" s="14"/>
      <c r="Z31" s="6"/>
      <c r="AA31" s="6"/>
      <c r="AB31" s="6"/>
      <c r="AC31" s="6"/>
      <c r="AD31" s="6"/>
      <c r="AE31" s="6"/>
      <c r="AF31" s="6"/>
    </row>
    <row r="32" spans="1:32" x14ac:dyDescent="0.35">
      <c r="A32" s="6"/>
      <c r="B32" s="6"/>
      <c r="C32" s="6"/>
      <c r="D32" s="6"/>
      <c r="E32" s="6"/>
      <c r="F32" s="6"/>
      <c r="G32" s="20" t="s">
        <v>21</v>
      </c>
      <c r="H32" s="76">
        <f>IFERROR((B39-B24)/B24,"")</f>
        <v>-1</v>
      </c>
      <c r="I32" s="6"/>
      <c r="J32" s="20" t="s">
        <v>21</v>
      </c>
      <c r="K32" s="76">
        <f>IFERROR((E39-E24)/E24,"")</f>
        <v>-1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49" t="s">
        <v>36</v>
      </c>
      <c r="W32" s="50">
        <f>SUM(W23:W31)</f>
        <v>135013</v>
      </c>
      <c r="X32" s="50">
        <f>SUM(X23:X31)</f>
        <v>15646</v>
      </c>
      <c r="Y32" s="50">
        <f>SUM(Y23:Y31)</f>
        <v>246</v>
      </c>
      <c r="Z32" s="6"/>
      <c r="AA32" s="6"/>
      <c r="AB32" s="6"/>
      <c r="AC32" s="6"/>
      <c r="AD32" s="6"/>
      <c r="AE32" s="6"/>
      <c r="AF32" s="6"/>
    </row>
    <row r="33" spans="1:32" x14ac:dyDescent="0.35">
      <c r="A33" s="6"/>
      <c r="B33" s="6"/>
      <c r="C33" s="6"/>
      <c r="D33" s="6"/>
      <c r="E33" s="6"/>
      <c r="F33" s="6"/>
      <c r="G33" s="77" t="s">
        <v>104</v>
      </c>
      <c r="H33" s="78" t="str">
        <f>IFERROR((#REF!-#REF!)/#REF!,"")</f>
        <v/>
      </c>
      <c r="J33" s="77" t="s">
        <v>33</v>
      </c>
      <c r="K33" s="78" t="str">
        <f>IFERROR((#REF!-#REF!)/#REF!,"")</f>
        <v/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35">
      <c r="A35" s="111" t="s">
        <v>88</v>
      </c>
      <c r="B35" s="111"/>
      <c r="C35" s="111"/>
      <c r="D35" s="111"/>
      <c r="E35" s="111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 ht="19" customHeight="1" x14ac:dyDescent="0.35">
      <c r="A36" s="10" t="s">
        <v>13</v>
      </c>
      <c r="B36" s="10" t="s">
        <v>10</v>
      </c>
      <c r="C36" s="6"/>
      <c r="D36" s="10" t="s">
        <v>13</v>
      </c>
      <c r="E36" s="10" t="s">
        <v>11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x14ac:dyDescent="0.35">
      <c r="A37" s="13" t="s">
        <v>25</v>
      </c>
      <c r="B37" s="14"/>
      <c r="C37" s="6"/>
      <c r="D37" s="13" t="s">
        <v>25</v>
      </c>
      <c r="E37" s="1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35">
      <c r="A38" s="20" t="s">
        <v>23</v>
      </c>
      <c r="B38" s="14"/>
      <c r="C38" s="6"/>
      <c r="D38" s="20" t="s">
        <v>23</v>
      </c>
      <c r="E38" s="1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96" t="s">
        <v>88</v>
      </c>
      <c r="R38" s="96"/>
      <c r="S38" s="96"/>
      <c r="T38" s="96"/>
      <c r="U38" s="96"/>
      <c r="V38" s="96"/>
      <c r="W38" s="96"/>
      <c r="X38" s="96"/>
      <c r="Y38" s="96"/>
      <c r="Z38" s="6"/>
      <c r="AA38" s="6"/>
      <c r="AB38" s="123" t="s">
        <v>86</v>
      </c>
      <c r="AC38" s="124"/>
      <c r="AD38" s="124"/>
      <c r="AE38" s="125"/>
      <c r="AF38" s="6"/>
    </row>
    <row r="39" spans="1:32" ht="14.5" customHeight="1" x14ac:dyDescent="0.35">
      <c r="A39" s="20" t="s">
        <v>21</v>
      </c>
      <c r="B39" s="14"/>
      <c r="C39" s="6"/>
      <c r="D39" s="20" t="s">
        <v>21</v>
      </c>
      <c r="E39" s="14"/>
      <c r="F39" s="6"/>
      <c r="G39" s="6"/>
      <c r="H39" s="6"/>
      <c r="I39" s="6"/>
      <c r="J39" s="6"/>
      <c r="K39" s="6"/>
      <c r="L39" s="6"/>
      <c r="M39" s="52" t="s">
        <v>67</v>
      </c>
      <c r="N39" s="52"/>
      <c r="O39" s="52"/>
      <c r="P39" s="6"/>
      <c r="Q39" s="2" t="s">
        <v>68</v>
      </c>
      <c r="R39" s="2"/>
      <c r="S39" s="2"/>
      <c r="T39" s="2"/>
      <c r="U39" s="6"/>
      <c r="V39" s="52" t="s">
        <v>69</v>
      </c>
      <c r="W39" s="52"/>
      <c r="X39" s="52"/>
      <c r="Y39" s="52"/>
      <c r="Z39" s="6"/>
      <c r="AA39" s="6"/>
      <c r="AB39" s="126" t="s">
        <v>82</v>
      </c>
      <c r="AC39" s="108"/>
      <c r="AD39" s="108"/>
      <c r="AE39" s="127"/>
      <c r="AF39" s="6"/>
    </row>
    <row r="40" spans="1:32" ht="14.15" customHeight="1" x14ac:dyDescent="0.35">
      <c r="B40" s="66">
        <f>SUMPRODUCT(B37:B39)</f>
        <v>0</v>
      </c>
      <c r="C40" s="6"/>
      <c r="E40" s="66">
        <f>SUMPRODUCT(E37:E39)</f>
        <v>0</v>
      </c>
      <c r="F40" s="6"/>
      <c r="G40" s="6"/>
      <c r="H40" s="6"/>
      <c r="I40" s="6"/>
      <c r="J40" s="6"/>
      <c r="K40" s="6"/>
      <c r="L40" s="6"/>
      <c r="M40" s="10" t="s">
        <v>70</v>
      </c>
      <c r="N40" s="10" t="s">
        <v>71</v>
      </c>
      <c r="O40" s="10" t="s">
        <v>72</v>
      </c>
      <c r="P40" s="6"/>
      <c r="Q40" s="36" t="s">
        <v>73</v>
      </c>
      <c r="R40" s="36" t="s">
        <v>9</v>
      </c>
      <c r="S40" s="36" t="s">
        <v>70</v>
      </c>
      <c r="T40" s="36" t="s">
        <v>74</v>
      </c>
      <c r="U40" s="6"/>
      <c r="V40" s="10" t="s">
        <v>75</v>
      </c>
      <c r="W40" s="10" t="s">
        <v>76</v>
      </c>
      <c r="X40" s="10" t="s">
        <v>57</v>
      </c>
      <c r="Y40" s="10" t="s">
        <v>58</v>
      </c>
      <c r="Z40" s="6"/>
      <c r="AA40" s="6"/>
      <c r="AB40" s="128" t="s">
        <v>83</v>
      </c>
      <c r="AC40" s="36" t="s">
        <v>76</v>
      </c>
      <c r="AD40" s="36" t="s">
        <v>57</v>
      </c>
      <c r="AE40" s="129" t="s">
        <v>58</v>
      </c>
      <c r="AF40" s="6"/>
    </row>
    <row r="41" spans="1:3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20" t="s">
        <v>81</v>
      </c>
      <c r="N41" s="37">
        <f>COUNTIF($S$41:$S$48,M41)</f>
        <v>0</v>
      </c>
      <c r="O41" s="38" t="e">
        <f>AVERAGE(T41:T48)</f>
        <v>#DIV/0!</v>
      </c>
      <c r="P41" s="6"/>
      <c r="Q41" s="39"/>
      <c r="R41" s="40"/>
      <c r="S41" s="41"/>
      <c r="T41" s="42"/>
      <c r="U41" s="6"/>
      <c r="V41" s="39"/>
      <c r="W41" s="14"/>
      <c r="X41" s="14"/>
      <c r="Y41" s="14"/>
      <c r="Z41" s="6"/>
      <c r="AA41" s="6"/>
      <c r="AB41" s="115" t="s">
        <v>81</v>
      </c>
      <c r="AC41" s="116">
        <f>W41-W23</f>
        <v>-72243</v>
      </c>
      <c r="AD41" s="116">
        <f t="shared" ref="AD41:AE41" si="3">X41-X23</f>
        <v>-8769</v>
      </c>
      <c r="AE41" s="117">
        <f t="shared" si="3"/>
        <v>-173</v>
      </c>
      <c r="AF41" s="6"/>
    </row>
    <row r="42" spans="1:32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20"/>
      <c r="N42" s="37"/>
      <c r="O42" s="38"/>
      <c r="P42" s="6"/>
      <c r="Q42" s="39"/>
      <c r="R42" s="40"/>
      <c r="S42" s="41"/>
      <c r="T42" s="42"/>
      <c r="U42" s="6"/>
      <c r="V42" s="39"/>
      <c r="W42" s="14"/>
      <c r="X42" s="14"/>
      <c r="Y42" s="14"/>
      <c r="Z42" s="6"/>
      <c r="AA42" s="6"/>
      <c r="AB42" s="115" t="s">
        <v>81</v>
      </c>
      <c r="AC42" s="130">
        <f>W42-W24</f>
        <v>-62770</v>
      </c>
      <c r="AD42" s="130">
        <f t="shared" ref="AD42:AE42" si="4">X42-X24</f>
        <v>-6877</v>
      </c>
      <c r="AE42" s="131">
        <f t="shared" si="4"/>
        <v>-73</v>
      </c>
      <c r="AF42" s="6"/>
    </row>
    <row r="43" spans="1:32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20"/>
      <c r="N43" s="37"/>
      <c r="O43" s="38"/>
      <c r="P43" s="6"/>
      <c r="Q43" s="39"/>
      <c r="R43" s="40"/>
      <c r="S43" s="41"/>
      <c r="T43" s="42"/>
      <c r="U43" s="6"/>
      <c r="V43" s="39"/>
      <c r="W43" s="14"/>
      <c r="X43" s="14"/>
      <c r="Y43" s="14"/>
      <c r="Z43" s="6"/>
      <c r="AA43" s="6"/>
      <c r="AB43" s="6"/>
      <c r="AC43" s="6"/>
      <c r="AD43" s="6"/>
      <c r="AE43" s="6"/>
      <c r="AF43" s="6"/>
    </row>
    <row r="44" spans="1:32" x14ac:dyDescent="0.35">
      <c r="A44" s="6"/>
      <c r="B44" s="6"/>
      <c r="C44" s="6"/>
      <c r="D44" s="6"/>
      <c r="E44" s="6"/>
      <c r="F44" s="6"/>
      <c r="G44" s="98" t="s">
        <v>4</v>
      </c>
      <c r="H44" s="98"/>
      <c r="I44" s="6"/>
      <c r="J44" s="1" t="s">
        <v>4</v>
      </c>
      <c r="K44" s="1"/>
      <c r="L44" s="6"/>
      <c r="M44" s="22" t="s">
        <v>36</v>
      </c>
      <c r="N44" s="23">
        <f ca="1">SUM(N41:N44)</f>
        <v>0</v>
      </c>
      <c r="O44" s="44" t="e">
        <f>AVERAGE(O41:O43)</f>
        <v>#DIV/0!</v>
      </c>
      <c r="P44" s="6"/>
      <c r="Q44" s="67"/>
      <c r="R44" s="68"/>
      <c r="S44" s="69"/>
      <c r="T44" s="70"/>
      <c r="U44" s="6"/>
      <c r="V44" s="39"/>
      <c r="W44" s="14"/>
      <c r="X44" s="14"/>
      <c r="Y44" s="14"/>
      <c r="Z44" s="6"/>
      <c r="AA44" s="6"/>
      <c r="AB44" s="6"/>
      <c r="AC44" s="6"/>
      <c r="AD44" s="6"/>
      <c r="AE44" s="6"/>
      <c r="AF44" s="6"/>
    </row>
    <row r="45" spans="1:32" x14ac:dyDescent="0.35">
      <c r="A45" s="6"/>
      <c r="B45" s="6"/>
      <c r="C45" s="6"/>
      <c r="D45" s="6"/>
      <c r="E45" s="6"/>
      <c r="F45" s="6"/>
      <c r="G45" s="36" t="s">
        <v>13</v>
      </c>
      <c r="H45" s="36" t="s">
        <v>10</v>
      </c>
      <c r="I45" s="6"/>
      <c r="J45" s="36" t="s">
        <v>13</v>
      </c>
      <c r="K45" s="36" t="s">
        <v>11</v>
      </c>
      <c r="L45" s="6"/>
      <c r="M45" s="6"/>
      <c r="N45" s="6"/>
      <c r="O45" s="6"/>
      <c r="P45" s="6"/>
      <c r="Q45" s="67"/>
      <c r="R45" s="68"/>
      <c r="S45" s="69"/>
      <c r="T45" s="70"/>
      <c r="U45" s="6"/>
      <c r="V45" s="39"/>
      <c r="W45" s="14"/>
      <c r="X45" s="14"/>
      <c r="Y45" s="14"/>
      <c r="Z45" s="6"/>
      <c r="AA45" s="6"/>
      <c r="AB45" s="6"/>
      <c r="AC45" s="6"/>
      <c r="AD45" s="6"/>
      <c r="AE45" s="6"/>
      <c r="AF45" s="6"/>
    </row>
    <row r="46" spans="1:32" x14ac:dyDescent="0.35">
      <c r="A46" s="6"/>
      <c r="B46" s="6"/>
      <c r="C46" s="6"/>
      <c r="D46" s="6"/>
      <c r="E46" s="6"/>
      <c r="F46" s="6"/>
      <c r="G46" s="13" t="s">
        <v>25</v>
      </c>
      <c r="H46" s="74" t="str">
        <f>IFERROR((B57-B37)/B37,"")</f>
        <v/>
      </c>
      <c r="I46" s="6"/>
      <c r="J46" s="13" t="s">
        <v>25</v>
      </c>
      <c r="K46" s="74" t="str">
        <f>IFERROR((E57-E37)/E37,"")</f>
        <v/>
      </c>
      <c r="L46" s="6"/>
      <c r="M46" s="6"/>
      <c r="N46" s="6"/>
      <c r="O46" s="6"/>
      <c r="P46" s="6"/>
      <c r="Q46" s="39"/>
      <c r="R46" s="40"/>
      <c r="S46" s="41"/>
      <c r="T46" s="42"/>
      <c r="U46" s="6"/>
      <c r="V46" s="39"/>
      <c r="W46" s="14"/>
      <c r="X46" s="14"/>
      <c r="Y46" s="14"/>
      <c r="Z46" s="6"/>
      <c r="AA46" s="6"/>
      <c r="AB46" s="6"/>
      <c r="AC46" s="6"/>
      <c r="AD46" s="6"/>
      <c r="AE46" s="6"/>
      <c r="AF46" s="6"/>
    </row>
    <row r="47" spans="1:32" x14ac:dyDescent="0.35">
      <c r="A47" s="6"/>
      <c r="B47" s="6"/>
      <c r="C47" s="6"/>
      <c r="D47" s="6"/>
      <c r="E47" s="6"/>
      <c r="F47" s="6"/>
      <c r="G47" s="20" t="s">
        <v>23</v>
      </c>
      <c r="H47" s="76" t="str">
        <f>IFERROR((#REF!-B38)/B38,"")</f>
        <v/>
      </c>
      <c r="I47" s="6"/>
      <c r="J47" s="20" t="s">
        <v>23</v>
      </c>
      <c r="K47" s="76" t="str">
        <f>IFERROR((#REF!-E38)/E38,"")</f>
        <v/>
      </c>
      <c r="L47" s="6"/>
      <c r="M47" s="6"/>
      <c r="N47" s="6"/>
      <c r="O47" s="6"/>
      <c r="P47" s="6"/>
      <c r="Q47" s="45"/>
      <c r="R47" s="46"/>
      <c r="S47" s="28"/>
      <c r="T47" s="47"/>
      <c r="U47" s="6"/>
      <c r="V47" s="39"/>
      <c r="W47" s="14"/>
      <c r="X47" s="14"/>
      <c r="Y47" s="14"/>
      <c r="Z47" s="6"/>
      <c r="AA47" s="6"/>
      <c r="AB47" s="6"/>
      <c r="AC47" s="6"/>
      <c r="AD47" s="6"/>
      <c r="AE47" s="6"/>
      <c r="AF47" s="6"/>
    </row>
    <row r="48" spans="1:32" x14ac:dyDescent="0.35">
      <c r="A48" s="6"/>
      <c r="B48" s="6"/>
      <c r="C48" s="6"/>
      <c r="D48" s="6"/>
      <c r="E48" s="6"/>
      <c r="F48" s="6"/>
      <c r="G48" s="20" t="s">
        <v>21</v>
      </c>
      <c r="H48" s="76" t="str">
        <f>IFERROR((B58-B39)/B39,"")</f>
        <v/>
      </c>
      <c r="I48" s="6"/>
      <c r="J48" s="20" t="s">
        <v>21</v>
      </c>
      <c r="K48" s="76" t="str">
        <f>IFERROR((E58-E39)/E39,"")</f>
        <v/>
      </c>
      <c r="L48" s="6"/>
      <c r="M48" s="6"/>
      <c r="N48" s="6"/>
      <c r="O48" s="6"/>
      <c r="P48" s="6"/>
      <c r="Q48" s="39"/>
      <c r="R48" s="40"/>
      <c r="S48" s="41"/>
      <c r="T48" s="42"/>
      <c r="U48" s="6"/>
      <c r="V48" s="39"/>
      <c r="W48" s="14"/>
      <c r="X48" s="14"/>
      <c r="Y48" s="14"/>
      <c r="Z48" s="6"/>
      <c r="AA48" s="6"/>
      <c r="AB48" s="6"/>
      <c r="AC48" s="6"/>
      <c r="AD48" s="6"/>
      <c r="AE48" s="6"/>
      <c r="AF48" s="6"/>
    </row>
    <row r="49" spans="1:32" x14ac:dyDescent="0.35">
      <c r="A49" s="6"/>
      <c r="B49" s="6"/>
      <c r="C49" s="6"/>
      <c r="D49" s="6"/>
      <c r="E49" s="6"/>
      <c r="F49" s="6"/>
      <c r="G49" s="77" t="s">
        <v>104</v>
      </c>
      <c r="H49" s="78" t="str">
        <f>IFERROR((#REF!-B40)/B40,"")</f>
        <v/>
      </c>
      <c r="J49" s="77" t="s">
        <v>33</v>
      </c>
      <c r="K49" s="78" t="str">
        <f>IFERROR((#REF!-E40)/E40,"")</f>
        <v/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39"/>
      <c r="W49" s="14"/>
      <c r="X49" s="14"/>
      <c r="Y49" s="14"/>
      <c r="Z49" s="6"/>
      <c r="AA49" s="6"/>
      <c r="AB49" s="6"/>
      <c r="AC49" s="6"/>
      <c r="AD49" s="6"/>
      <c r="AE49" s="6"/>
      <c r="AF49" s="6"/>
    </row>
    <row r="50" spans="1:3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49" t="s">
        <v>36</v>
      </c>
      <c r="W50" s="50">
        <f>SUM(W41:W49)</f>
        <v>0</v>
      </c>
      <c r="X50" s="50">
        <f>SUM(X41:X49)</f>
        <v>0</v>
      </c>
      <c r="Y50" s="50">
        <f>SUM(Y41:Y49)</f>
        <v>0</v>
      </c>
      <c r="Z50" s="6"/>
      <c r="AA50" s="6"/>
      <c r="AB50" s="6"/>
      <c r="AC50" s="6"/>
      <c r="AD50" s="6"/>
      <c r="AE50" s="6"/>
      <c r="AF50" s="6"/>
    </row>
    <row r="51" spans="1:32" ht="17.149999999999999" customHeigh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x14ac:dyDescent="0.35">
      <c r="A53" s="111" t="s">
        <v>91</v>
      </c>
      <c r="B53" s="111"/>
      <c r="C53" s="111"/>
      <c r="D53" s="111"/>
      <c r="E53" s="111"/>
      <c r="F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ht="26" x14ac:dyDescent="0.35">
      <c r="A54" s="10" t="s">
        <v>13</v>
      </c>
      <c r="B54" s="10" t="s">
        <v>10</v>
      </c>
      <c r="C54" s="6"/>
      <c r="D54" s="10" t="s">
        <v>13</v>
      </c>
      <c r="E54" s="10" t="s">
        <v>11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x14ac:dyDescent="0.35">
      <c r="A55" s="13" t="s">
        <v>25</v>
      </c>
      <c r="B55" s="14"/>
      <c r="C55" s="6"/>
      <c r="D55" s="13" t="s">
        <v>25</v>
      </c>
      <c r="E55" s="1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96" t="s">
        <v>91</v>
      </c>
      <c r="R55" s="96"/>
      <c r="S55" s="96"/>
      <c r="T55" s="96"/>
      <c r="U55" s="96"/>
      <c r="V55" s="96"/>
      <c r="W55" s="96"/>
      <c r="X55" s="96"/>
      <c r="Y55" s="96"/>
      <c r="Z55" s="6"/>
      <c r="AA55" s="6"/>
      <c r="AB55" s="6"/>
      <c r="AC55" s="6"/>
      <c r="AD55" s="6"/>
      <c r="AE55" s="6"/>
      <c r="AF55" s="6"/>
    </row>
    <row r="56" spans="1:32" x14ac:dyDescent="0.35">
      <c r="A56" s="20" t="s">
        <v>23</v>
      </c>
      <c r="B56" s="14"/>
      <c r="C56" s="6"/>
      <c r="D56" s="20" t="s">
        <v>23</v>
      </c>
      <c r="E56" s="14"/>
      <c r="F56" s="6"/>
      <c r="G56" s="6"/>
      <c r="H56" s="6"/>
      <c r="I56" s="6"/>
      <c r="J56" s="6"/>
      <c r="K56" s="6"/>
      <c r="L56" s="6"/>
      <c r="M56" s="52" t="s">
        <v>67</v>
      </c>
      <c r="N56" s="52"/>
      <c r="O56" s="52"/>
      <c r="P56" s="6"/>
      <c r="Q56" s="2" t="s">
        <v>68</v>
      </c>
      <c r="R56" s="2"/>
      <c r="S56" s="2"/>
      <c r="T56" s="2"/>
      <c r="U56" s="6"/>
      <c r="V56" s="52" t="s">
        <v>69</v>
      </c>
      <c r="W56" s="52"/>
      <c r="X56" s="52"/>
      <c r="Y56" s="52"/>
      <c r="Z56" s="6"/>
      <c r="AA56" s="6"/>
      <c r="AB56" s="6"/>
      <c r="AC56" s="6"/>
      <c r="AD56" s="6"/>
      <c r="AE56" s="6"/>
      <c r="AF56" s="6"/>
    </row>
    <row r="57" spans="1:32" ht="14.15" customHeight="1" x14ac:dyDescent="0.35">
      <c r="A57" s="20" t="s">
        <v>21</v>
      </c>
      <c r="B57" s="14"/>
      <c r="C57" s="6"/>
      <c r="D57" s="20" t="s">
        <v>21</v>
      </c>
      <c r="E57" s="14"/>
      <c r="F57" s="6"/>
      <c r="G57" s="6"/>
      <c r="H57" s="6"/>
      <c r="I57" s="6"/>
      <c r="J57" s="6"/>
      <c r="K57" s="6"/>
      <c r="L57" s="6"/>
      <c r="M57" s="10" t="s">
        <v>70</v>
      </c>
      <c r="N57" s="10" t="s">
        <v>71</v>
      </c>
      <c r="O57" s="10" t="s">
        <v>72</v>
      </c>
      <c r="P57" s="6"/>
      <c r="Q57" s="36" t="s">
        <v>73</v>
      </c>
      <c r="R57" s="36" t="s">
        <v>9</v>
      </c>
      <c r="S57" s="36" t="s">
        <v>70</v>
      </c>
      <c r="T57" s="36" t="s">
        <v>74</v>
      </c>
      <c r="U57" s="6"/>
      <c r="V57" s="10" t="s">
        <v>75</v>
      </c>
      <c r="W57" s="10" t="s">
        <v>76</v>
      </c>
      <c r="X57" s="10" t="s">
        <v>57</v>
      </c>
      <c r="Y57" s="10" t="s">
        <v>58</v>
      </c>
      <c r="Z57" s="6"/>
      <c r="AA57" s="6"/>
      <c r="AB57" s="123" t="s">
        <v>88</v>
      </c>
      <c r="AC57" s="124"/>
      <c r="AD57" s="124"/>
      <c r="AE57" s="125"/>
      <c r="AF57" s="6"/>
    </row>
    <row r="58" spans="1:32" x14ac:dyDescent="0.35">
      <c r="B58" s="66">
        <f>SUMPRODUCT(B55:B57)</f>
        <v>0</v>
      </c>
      <c r="C58" s="6"/>
      <c r="E58" s="66">
        <f>SUMPRODUCT(E55:E57)</f>
        <v>0</v>
      </c>
      <c r="F58" s="6"/>
      <c r="G58" s="6"/>
      <c r="H58" s="6"/>
      <c r="I58" s="6"/>
      <c r="J58" s="6"/>
      <c r="K58" s="6"/>
      <c r="L58" s="6"/>
      <c r="M58" s="20" t="s">
        <v>81</v>
      </c>
      <c r="N58" s="37">
        <f>COUNTIF($S$58:$S$65,M58)</f>
        <v>0</v>
      </c>
      <c r="O58" s="38" t="e">
        <f>AVERAGE(T58:T65)</f>
        <v>#DIV/0!</v>
      </c>
      <c r="P58" s="6"/>
      <c r="Q58" s="39"/>
      <c r="R58" s="40"/>
      <c r="S58" s="41"/>
      <c r="T58" s="42"/>
      <c r="U58" s="6"/>
      <c r="V58" s="39"/>
      <c r="W58" s="14"/>
      <c r="X58" s="14"/>
      <c r="Y58" s="14"/>
      <c r="Z58" s="6"/>
      <c r="AA58" s="6"/>
      <c r="AB58" s="126" t="s">
        <v>82</v>
      </c>
      <c r="AC58" s="108"/>
      <c r="AD58" s="108"/>
      <c r="AE58" s="127"/>
      <c r="AF58" s="6"/>
    </row>
    <row r="59" spans="1:32" ht="26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20"/>
      <c r="N59" s="37"/>
      <c r="O59" s="38"/>
      <c r="P59" s="6"/>
      <c r="Q59" s="39"/>
      <c r="R59" s="40"/>
      <c r="S59" s="41"/>
      <c r="T59" s="42"/>
      <c r="U59" s="6"/>
      <c r="V59" s="39"/>
      <c r="W59" s="14"/>
      <c r="X59" s="14"/>
      <c r="Y59" s="14"/>
      <c r="Z59" s="6"/>
      <c r="AA59" s="6"/>
      <c r="AB59" s="128" t="s">
        <v>83</v>
      </c>
      <c r="AC59" s="36" t="s">
        <v>76</v>
      </c>
      <c r="AD59" s="36" t="s">
        <v>57</v>
      </c>
      <c r="AE59" s="129" t="s">
        <v>58</v>
      </c>
      <c r="AF59" s="6"/>
    </row>
    <row r="60" spans="1:32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20"/>
      <c r="N60" s="37"/>
      <c r="O60" s="38"/>
      <c r="P60" s="6"/>
      <c r="Q60" s="39"/>
      <c r="R60" s="40"/>
      <c r="S60" s="41"/>
      <c r="T60" s="42"/>
      <c r="U60" s="6"/>
      <c r="V60" s="39"/>
      <c r="W60" s="14"/>
      <c r="X60" s="14"/>
      <c r="Y60" s="14"/>
      <c r="Z60" s="6"/>
      <c r="AA60" s="6"/>
      <c r="AB60" s="115" t="s">
        <v>81</v>
      </c>
      <c r="AC60" s="116">
        <f>W58-W41</f>
        <v>0</v>
      </c>
      <c r="AD60" s="116">
        <f t="shared" ref="AD60:AE60" si="5">X58-X41</f>
        <v>0</v>
      </c>
      <c r="AE60" s="117">
        <f t="shared" si="5"/>
        <v>0</v>
      </c>
      <c r="AF60" s="6"/>
    </row>
    <row r="61" spans="1:32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22" t="s">
        <v>36</v>
      </c>
      <c r="N61" s="23">
        <f ca="1">SUM(N58:N61)</f>
        <v>0</v>
      </c>
      <c r="O61" s="44" t="e">
        <f>AVERAGE(O58:O60)</f>
        <v>#DIV/0!</v>
      </c>
      <c r="P61" s="6"/>
      <c r="Q61" s="67"/>
      <c r="R61" s="68"/>
      <c r="S61" s="69"/>
      <c r="T61" s="70"/>
      <c r="U61" s="6"/>
      <c r="V61" s="39"/>
      <c r="W61" s="14"/>
      <c r="X61" s="14"/>
      <c r="Y61" s="14"/>
      <c r="Z61" s="6"/>
      <c r="AA61" s="6"/>
      <c r="AB61" s="115" t="s">
        <v>81</v>
      </c>
      <c r="AC61" s="130">
        <f>W59-W42</f>
        <v>0</v>
      </c>
      <c r="AD61" s="130">
        <f t="shared" ref="AD61:AE61" si="6">X59-X42</f>
        <v>0</v>
      </c>
      <c r="AE61" s="131">
        <f t="shared" si="6"/>
        <v>0</v>
      </c>
      <c r="AF61" s="6"/>
    </row>
    <row r="62" spans="1:32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7"/>
      <c r="R62" s="68"/>
      <c r="S62" s="69"/>
      <c r="T62" s="70"/>
      <c r="U62" s="6"/>
      <c r="V62" s="39"/>
      <c r="W62" s="14"/>
      <c r="X62" s="14"/>
      <c r="Y62" s="14"/>
      <c r="Z62" s="6"/>
      <c r="AA62" s="6"/>
      <c r="AB62" s="6"/>
      <c r="AC62" s="6"/>
      <c r="AD62" s="6"/>
      <c r="AE62" s="6"/>
      <c r="AF62" s="6"/>
    </row>
    <row r="63" spans="1:32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39"/>
      <c r="R63" s="40"/>
      <c r="S63" s="41"/>
      <c r="T63" s="42"/>
      <c r="U63" s="6"/>
      <c r="V63" s="39"/>
      <c r="W63" s="14"/>
      <c r="X63" s="14"/>
      <c r="Y63" s="14"/>
      <c r="Z63" s="6"/>
      <c r="AA63" s="6"/>
      <c r="AB63" s="6"/>
      <c r="AC63" s="6"/>
      <c r="AD63" s="6"/>
      <c r="AE63" s="6"/>
      <c r="AF63" s="6"/>
    </row>
    <row r="64" spans="1:32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45"/>
      <c r="R64" s="46"/>
      <c r="S64" s="28"/>
      <c r="T64" s="47"/>
      <c r="U64" s="6"/>
      <c r="V64" s="39"/>
      <c r="W64" s="14"/>
      <c r="X64" s="14"/>
      <c r="Y64" s="14"/>
      <c r="Z64" s="6"/>
      <c r="AA64" s="6"/>
      <c r="AB64" s="6"/>
      <c r="AC64" s="6"/>
      <c r="AD64" s="6"/>
      <c r="AE64" s="6"/>
      <c r="AF64" s="6"/>
    </row>
    <row r="65" spans="1:32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39"/>
      <c r="R65" s="40"/>
      <c r="S65" s="41"/>
      <c r="T65" s="42"/>
      <c r="U65" s="6"/>
      <c r="V65" s="39"/>
      <c r="W65" s="14"/>
      <c r="X65" s="14"/>
      <c r="Y65" s="14"/>
      <c r="Z65" s="6"/>
      <c r="AA65" s="6"/>
      <c r="AB65" s="6"/>
      <c r="AC65" s="6"/>
      <c r="AD65" s="6"/>
      <c r="AE65" s="6"/>
      <c r="AF65" s="6"/>
    </row>
    <row r="66" spans="1:32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39"/>
      <c r="W66" s="14"/>
      <c r="X66" s="14"/>
      <c r="Y66" s="14"/>
      <c r="Z66" s="6"/>
      <c r="AA66" s="6"/>
      <c r="AB66" s="6"/>
      <c r="AC66" s="6"/>
      <c r="AD66" s="6"/>
      <c r="AE66" s="6"/>
      <c r="AF66" s="6"/>
    </row>
    <row r="67" spans="1:32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49" t="s">
        <v>36</v>
      </c>
      <c r="W67" s="50">
        <f>SUM(W58:W66)</f>
        <v>0</v>
      </c>
      <c r="X67" s="50">
        <f>SUM(X58:X66)</f>
        <v>0</v>
      </c>
      <c r="Y67" s="50">
        <f>SUM(Y58:Y66)</f>
        <v>0</v>
      </c>
      <c r="Z67" s="6"/>
      <c r="AA67" s="6"/>
      <c r="AB67" s="6"/>
      <c r="AC67" s="6"/>
      <c r="AD67" s="6"/>
      <c r="AE67" s="6"/>
      <c r="AF67" s="6"/>
    </row>
    <row r="68" spans="1:32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1:32" x14ac:dyDescent="0.35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spans="1:32" x14ac:dyDescent="0.35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1:32" x14ac:dyDescent="0.35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spans="1:32" x14ac:dyDescent="0.35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spans="1:32" x14ac:dyDescent="0.35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1:32" x14ac:dyDescent="0.35">
      <c r="C74" s="6"/>
      <c r="D74" s="6"/>
      <c r="E74" s="6"/>
      <c r="F74" s="6"/>
      <c r="G74" s="6"/>
      <c r="H74" s="6"/>
      <c r="I74" s="6"/>
      <c r="J74" s="6"/>
      <c r="K74" s="6"/>
      <c r="L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</sheetData>
  <mergeCells count="21">
    <mergeCell ref="AB58:AE58"/>
    <mergeCell ref="AB17:AE17"/>
    <mergeCell ref="AB18:AE18"/>
    <mergeCell ref="AB38:AE38"/>
    <mergeCell ref="AB39:AE39"/>
    <mergeCell ref="AB57:AE57"/>
    <mergeCell ref="A1:C1"/>
    <mergeCell ref="A4:D4"/>
    <mergeCell ref="A3:E3"/>
    <mergeCell ref="F3:J3"/>
    <mergeCell ref="Q55:Y55"/>
    <mergeCell ref="G44:H44"/>
    <mergeCell ref="A53:E53"/>
    <mergeCell ref="Q4:Y4"/>
    <mergeCell ref="Q20:Y20"/>
    <mergeCell ref="Q38:Y38"/>
    <mergeCell ref="A5:E5"/>
    <mergeCell ref="G13:H13"/>
    <mergeCell ref="A20:E20"/>
    <mergeCell ref="G28:H28"/>
    <mergeCell ref="A35:E35"/>
  </mergeCells>
  <dataValidations count="1">
    <dataValidation type="list" allowBlank="1" sqref="S58:S65 S23:S30 S41:S48 S7:S8 AB20:AB21 AB41:AB42 AB60:AB61" xr:uid="{FEC7C454-6798-49A3-80FB-FA572ACB1B2E}">
      <formula1>"Curitiba"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01AE-0985-4F6F-A19C-5DC6240EF70D}">
  <sheetPr>
    <tabColor rgb="FF00B050"/>
  </sheetPr>
  <dimension ref="A1:AE73"/>
  <sheetViews>
    <sheetView topLeftCell="O11" workbookViewId="0">
      <selection activeCell="AD29" sqref="AD29"/>
    </sheetView>
  </sheetViews>
  <sheetFormatPr defaultRowHeight="14.5" x14ac:dyDescent="0.35"/>
  <cols>
    <col min="2" max="2" width="10.81640625" customWidth="1"/>
    <col min="5" max="5" width="10.81640625" customWidth="1"/>
    <col min="6" max="6" width="11.7265625" customWidth="1"/>
    <col min="7" max="7" width="7.1796875" bestFit="1" customWidth="1"/>
    <col min="8" max="8" width="15.26953125" customWidth="1"/>
    <col min="9" max="9" width="3.453125" customWidth="1"/>
    <col min="10" max="10" width="7.81640625" customWidth="1"/>
    <col min="11" max="11" width="12.7265625" customWidth="1"/>
    <col min="12" max="12" width="8.7265625" customWidth="1"/>
    <col min="13" max="13" width="2.81640625" customWidth="1"/>
    <col min="14" max="14" width="14.1796875" bestFit="1" customWidth="1"/>
    <col min="16" max="16" width="13.1796875" bestFit="1" customWidth="1"/>
    <col min="17" max="17" width="3.54296875" customWidth="1"/>
    <col min="18" max="18" width="11.54296875" bestFit="1" customWidth="1"/>
    <col min="19" max="19" width="10" bestFit="1" customWidth="1"/>
    <col min="20" max="20" width="9.453125" customWidth="1"/>
    <col min="21" max="21" width="14.1796875" bestFit="1" customWidth="1"/>
    <col min="23" max="23" width="9.453125" bestFit="1" customWidth="1"/>
    <col min="24" max="24" width="14.1796875" bestFit="1" customWidth="1"/>
    <col min="25" max="25" width="11.54296875" bestFit="1" customWidth="1"/>
    <col min="26" max="26" width="10.453125" bestFit="1" customWidth="1"/>
    <col min="28" max="28" width="12" customWidth="1"/>
    <col min="29" max="29" width="10" bestFit="1" customWidth="1"/>
    <col min="30" max="30" width="12.26953125" customWidth="1"/>
    <col min="31" max="31" width="12.90625" customWidth="1"/>
  </cols>
  <sheetData>
    <row r="1" spans="1:31" x14ac:dyDescent="0.35">
      <c r="A1" s="102" t="s">
        <v>109</v>
      </c>
      <c r="B1" s="102"/>
      <c r="C1" s="102"/>
    </row>
    <row r="3" spans="1:31" x14ac:dyDescent="0.35">
      <c r="A3" s="110" t="s">
        <v>97</v>
      </c>
      <c r="B3" s="110"/>
      <c r="C3" s="110"/>
      <c r="D3" s="110"/>
      <c r="E3" s="65"/>
      <c r="F3" s="65"/>
      <c r="G3" s="65"/>
      <c r="H3" s="65"/>
      <c r="I3" s="65"/>
      <c r="J3" s="65"/>
      <c r="K3" s="65"/>
      <c r="L3" s="65"/>
      <c r="M3" s="65"/>
      <c r="N3" s="65" t="s">
        <v>110</v>
      </c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31" x14ac:dyDescent="0.35">
      <c r="A4" s="109" t="s">
        <v>111</v>
      </c>
      <c r="B4" s="109"/>
      <c r="C4" s="109"/>
      <c r="D4" s="109"/>
      <c r="E4" s="109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96" t="s">
        <v>35</v>
      </c>
      <c r="S4" s="96"/>
      <c r="T4" s="96"/>
      <c r="U4" s="96"/>
      <c r="V4" s="96"/>
      <c r="W4" s="96"/>
      <c r="X4" s="96"/>
      <c r="Y4" s="96"/>
      <c r="Z4" s="96"/>
      <c r="AA4" s="6"/>
    </row>
    <row r="5" spans="1:31" x14ac:dyDescent="0.35">
      <c r="A5" s="96" t="s">
        <v>35</v>
      </c>
      <c r="B5" s="96"/>
      <c r="C5" s="96"/>
      <c r="D5" s="96"/>
      <c r="E5" s="96"/>
      <c r="F5" s="6"/>
      <c r="G5" s="6"/>
      <c r="H5" s="6"/>
      <c r="I5" s="6"/>
      <c r="J5" s="6"/>
      <c r="K5" s="6"/>
      <c r="L5" s="6"/>
      <c r="M5" s="6"/>
      <c r="N5" s="52" t="s">
        <v>67</v>
      </c>
      <c r="O5" s="52"/>
      <c r="P5" s="52"/>
      <c r="Q5" s="6"/>
      <c r="R5" s="2" t="s">
        <v>68</v>
      </c>
      <c r="S5" s="2"/>
      <c r="T5" s="2"/>
      <c r="U5" s="2"/>
      <c r="V5" s="6"/>
      <c r="W5" s="52" t="s">
        <v>69</v>
      </c>
      <c r="X5" s="52"/>
      <c r="Y5" s="52"/>
      <c r="Z5" s="52"/>
      <c r="AA5" s="6"/>
    </row>
    <row r="6" spans="1:31" ht="17.5" customHeight="1" x14ac:dyDescent="0.35">
      <c r="A6" s="10" t="s">
        <v>13</v>
      </c>
      <c r="B6" s="10" t="s">
        <v>10</v>
      </c>
      <c r="C6" s="6"/>
      <c r="D6" s="10" t="s">
        <v>13</v>
      </c>
      <c r="E6" s="10" t="s">
        <v>11</v>
      </c>
      <c r="F6" s="6"/>
      <c r="G6" s="6"/>
      <c r="H6" s="6"/>
      <c r="I6" s="6"/>
      <c r="J6" s="6"/>
      <c r="K6" s="6"/>
      <c r="L6" s="6"/>
      <c r="M6" s="6"/>
      <c r="N6" s="10" t="s">
        <v>70</v>
      </c>
      <c r="O6" s="10" t="s">
        <v>71</v>
      </c>
      <c r="P6" s="10" t="s">
        <v>72</v>
      </c>
      <c r="Q6" s="6"/>
      <c r="R6" s="36" t="s">
        <v>73</v>
      </c>
      <c r="S6" s="36" t="s">
        <v>9</v>
      </c>
      <c r="T6" s="36" t="s">
        <v>70</v>
      </c>
      <c r="U6" s="36" t="s">
        <v>74</v>
      </c>
      <c r="V6" s="6"/>
      <c r="W6" s="10" t="s">
        <v>75</v>
      </c>
      <c r="X6" s="10" t="s">
        <v>76</v>
      </c>
      <c r="Y6" s="10" t="s">
        <v>57</v>
      </c>
      <c r="Z6" s="10" t="s">
        <v>58</v>
      </c>
      <c r="AA6" s="6"/>
    </row>
    <row r="7" spans="1:31" x14ac:dyDescent="0.35">
      <c r="A7" s="13" t="s">
        <v>27</v>
      </c>
      <c r="B7" s="21">
        <v>113</v>
      </c>
      <c r="C7" s="6"/>
      <c r="D7" s="13" t="s">
        <v>27</v>
      </c>
      <c r="E7" s="14">
        <v>116</v>
      </c>
      <c r="F7" s="6"/>
      <c r="G7" s="6"/>
      <c r="H7" s="6"/>
      <c r="I7" s="6"/>
      <c r="J7" s="6"/>
      <c r="K7" s="6"/>
      <c r="L7" s="6"/>
      <c r="M7" s="6"/>
      <c r="N7" s="20" t="s">
        <v>78</v>
      </c>
      <c r="O7" s="37">
        <f>COUNTIF(T7:T13,N7)</f>
        <v>4</v>
      </c>
      <c r="P7" s="38">
        <f>AVERAGE(U7:U13)</f>
        <v>0.63514999999999999</v>
      </c>
      <c r="Q7" s="6"/>
      <c r="R7" s="39">
        <v>10183</v>
      </c>
      <c r="S7" s="40">
        <v>46268</v>
      </c>
      <c r="T7" s="41" t="s">
        <v>78</v>
      </c>
      <c r="U7" s="42">
        <v>0.49020000000000002</v>
      </c>
      <c r="V7" s="6"/>
      <c r="W7" s="39">
        <v>10183</v>
      </c>
      <c r="X7" s="14">
        <v>17306</v>
      </c>
      <c r="Y7" s="14">
        <v>5495</v>
      </c>
      <c r="Z7" s="14">
        <v>100</v>
      </c>
      <c r="AA7" s="6"/>
    </row>
    <row r="8" spans="1:31" x14ac:dyDescent="0.35">
      <c r="A8" s="20" t="s">
        <v>112</v>
      </c>
      <c r="B8" s="14">
        <v>28</v>
      </c>
      <c r="C8" s="6"/>
      <c r="D8" s="20" t="s">
        <v>112</v>
      </c>
      <c r="E8" s="21">
        <v>26</v>
      </c>
      <c r="F8" s="6"/>
      <c r="G8" s="6"/>
      <c r="H8" s="6"/>
      <c r="I8" s="6"/>
      <c r="J8" s="6"/>
      <c r="K8" s="6"/>
      <c r="L8" s="6"/>
      <c r="M8" s="6"/>
      <c r="N8" s="20"/>
      <c r="O8" s="37"/>
      <c r="P8" s="38"/>
      <c r="Q8" s="6"/>
      <c r="R8" s="39">
        <v>10392</v>
      </c>
      <c r="S8" s="40">
        <v>46265</v>
      </c>
      <c r="T8" s="41" t="s">
        <v>78</v>
      </c>
      <c r="U8" s="42">
        <v>0.81330000000000002</v>
      </c>
      <c r="V8" s="6"/>
      <c r="W8" s="39">
        <v>10392</v>
      </c>
      <c r="X8" s="14">
        <v>61762</v>
      </c>
      <c r="Y8" s="14">
        <v>10985</v>
      </c>
      <c r="Z8" s="14">
        <v>389</v>
      </c>
      <c r="AA8" s="6"/>
    </row>
    <row r="9" spans="1:31" x14ac:dyDescent="0.35">
      <c r="A9" s="20" t="s">
        <v>113</v>
      </c>
      <c r="B9" s="14">
        <v>23</v>
      </c>
      <c r="C9" s="6"/>
      <c r="D9" s="20" t="s">
        <v>113</v>
      </c>
      <c r="E9" s="21">
        <v>16</v>
      </c>
      <c r="F9" s="6"/>
      <c r="G9" s="6"/>
      <c r="H9" s="6"/>
      <c r="I9" s="6"/>
      <c r="J9" s="6"/>
      <c r="K9" s="6"/>
      <c r="L9" s="6"/>
      <c r="M9" s="6"/>
      <c r="N9" s="20"/>
      <c r="O9" s="37"/>
      <c r="P9" s="38"/>
      <c r="Q9" s="6"/>
      <c r="R9" s="39">
        <v>10397</v>
      </c>
      <c r="S9" s="40">
        <v>46267</v>
      </c>
      <c r="T9" s="41" t="s">
        <v>78</v>
      </c>
      <c r="U9" s="42">
        <v>0.58650000000000002</v>
      </c>
      <c r="V9" s="6"/>
      <c r="W9" s="39">
        <v>10397</v>
      </c>
      <c r="X9" s="14">
        <v>67488</v>
      </c>
      <c r="Y9" s="14">
        <v>12371</v>
      </c>
      <c r="Z9" s="14">
        <v>312</v>
      </c>
      <c r="AA9" s="6"/>
    </row>
    <row r="10" spans="1:31" x14ac:dyDescent="0.35">
      <c r="B10" s="66">
        <f>SUMPRODUCT(B7:B9)</f>
        <v>164</v>
      </c>
      <c r="C10" s="6"/>
      <c r="D10" s="6"/>
      <c r="E10" s="66">
        <f>SUMPRODUCT(E7:E9)</f>
        <v>158</v>
      </c>
      <c r="F10" s="6"/>
      <c r="G10" s="6"/>
      <c r="H10" s="6"/>
      <c r="I10" s="6"/>
      <c r="J10" s="6"/>
      <c r="K10" s="6"/>
      <c r="L10" s="6"/>
      <c r="M10" s="6"/>
      <c r="N10" s="22" t="s">
        <v>36</v>
      </c>
      <c r="O10" s="23">
        <f>SUM(O7:O9)</f>
        <v>4</v>
      </c>
      <c r="P10" s="44">
        <f>AVERAGE(P7:P9)</f>
        <v>0.63514999999999999</v>
      </c>
      <c r="Q10" s="6"/>
      <c r="R10" s="39">
        <v>10398</v>
      </c>
      <c r="S10" s="40">
        <v>46267</v>
      </c>
      <c r="T10" s="41" t="s">
        <v>78</v>
      </c>
      <c r="U10" s="42">
        <v>0.65059999999999996</v>
      </c>
      <c r="V10" s="6"/>
      <c r="W10" s="39">
        <v>10398</v>
      </c>
      <c r="X10" s="14">
        <v>54833</v>
      </c>
      <c r="Y10" s="14">
        <v>9962</v>
      </c>
      <c r="Z10" s="14">
        <v>292</v>
      </c>
      <c r="AA10" s="6"/>
    </row>
    <row r="11" spans="1:31" x14ac:dyDescent="0.35">
      <c r="A11" s="6"/>
      <c r="C11" s="6"/>
      <c r="D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39"/>
      <c r="S11" s="40"/>
      <c r="T11" s="41"/>
      <c r="U11" s="42"/>
      <c r="V11" s="6"/>
      <c r="W11" s="39"/>
      <c r="X11" s="14"/>
      <c r="Y11" s="14"/>
      <c r="Z11" s="14"/>
      <c r="AA11" s="6"/>
    </row>
    <row r="12" spans="1:3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39"/>
      <c r="S12" s="46"/>
      <c r="T12" s="28"/>
      <c r="U12" s="47"/>
      <c r="V12" s="6"/>
      <c r="W12" s="39"/>
      <c r="X12" s="14"/>
      <c r="Y12" s="14"/>
      <c r="Z12" s="14"/>
      <c r="AA12" s="6"/>
    </row>
    <row r="13" spans="1:31" x14ac:dyDescent="0.35">
      <c r="A13" s="6"/>
      <c r="B13" s="6"/>
      <c r="C13" s="6"/>
      <c r="D13" s="6"/>
      <c r="E13" s="6"/>
      <c r="F13" s="6"/>
      <c r="G13" s="98" t="s">
        <v>4</v>
      </c>
      <c r="H13" s="98"/>
      <c r="I13" s="6"/>
      <c r="J13" s="1" t="s">
        <v>4</v>
      </c>
      <c r="K13" s="1"/>
      <c r="L13" s="6"/>
      <c r="M13" s="6"/>
      <c r="N13" s="6"/>
      <c r="O13" s="6"/>
      <c r="P13" s="6"/>
      <c r="Q13" s="6"/>
      <c r="R13" s="39"/>
      <c r="S13" s="40"/>
      <c r="T13" s="41"/>
      <c r="U13" s="42"/>
      <c r="V13" s="6"/>
      <c r="W13" s="39"/>
      <c r="X13" s="14"/>
      <c r="Y13" s="14"/>
      <c r="Z13" s="14"/>
      <c r="AA13" s="6"/>
    </row>
    <row r="14" spans="1:31" ht="14.5" customHeight="1" x14ac:dyDescent="0.35">
      <c r="A14" s="6"/>
      <c r="B14" s="6"/>
      <c r="C14" s="6"/>
      <c r="D14" s="6"/>
      <c r="E14" s="6"/>
      <c r="F14" s="6"/>
      <c r="G14" s="36" t="s">
        <v>13</v>
      </c>
      <c r="H14" s="36" t="s">
        <v>10</v>
      </c>
      <c r="I14" s="6"/>
      <c r="J14" s="36" t="s">
        <v>13</v>
      </c>
      <c r="K14" s="36" t="s">
        <v>11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39"/>
      <c r="X14" s="14"/>
      <c r="Y14" s="14"/>
      <c r="Z14" s="14"/>
      <c r="AA14" s="6"/>
    </row>
    <row r="15" spans="1:31" x14ac:dyDescent="0.35">
      <c r="A15" s="6"/>
      <c r="B15" s="6"/>
      <c r="C15" s="6"/>
      <c r="D15" s="6"/>
      <c r="E15" s="6"/>
      <c r="F15" s="6"/>
      <c r="G15" s="13" t="s">
        <v>27</v>
      </c>
      <c r="H15" s="74" t="str">
        <f>IFERROR((#REF!-B7)/B7,"")</f>
        <v/>
      </c>
      <c r="I15" s="6"/>
      <c r="J15" s="13" t="s">
        <v>27</v>
      </c>
      <c r="K15" s="74">
        <f>IFERROR((E22-E7)/E7,"")</f>
        <v>3.4482758620689655E-2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49" t="s">
        <v>36</v>
      </c>
      <c r="X15" s="50">
        <f>SUM(X7:X14)</f>
        <v>201389</v>
      </c>
      <c r="Y15" s="50">
        <f>SUM(Y7:Y14)</f>
        <v>38813</v>
      </c>
      <c r="Z15" s="50">
        <f>SUM(Z7:Z14)</f>
        <v>1093</v>
      </c>
      <c r="AA15" s="6"/>
    </row>
    <row r="16" spans="1:31" x14ac:dyDescent="0.35">
      <c r="A16" s="6"/>
      <c r="B16" s="6"/>
      <c r="C16" s="6"/>
      <c r="D16" s="6"/>
      <c r="E16" s="6"/>
      <c r="F16" s="6"/>
      <c r="G16" s="20" t="s">
        <v>112</v>
      </c>
      <c r="H16" s="76">
        <f>IFERROR((B23-B8)/B8,"")</f>
        <v>0.10714285714285714</v>
      </c>
      <c r="I16" s="6"/>
      <c r="J16" s="20" t="s">
        <v>112</v>
      </c>
      <c r="K16" s="76">
        <f>IFERROR((E23-E8)/E8,"")</f>
        <v>-3.8461538461538464E-2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123" t="s">
        <v>35</v>
      </c>
      <c r="AC16" s="124"/>
      <c r="AD16" s="124"/>
      <c r="AE16" s="125"/>
    </row>
    <row r="17" spans="1:31" ht="16.5" customHeight="1" x14ac:dyDescent="0.35">
      <c r="A17" s="6"/>
      <c r="B17" s="6"/>
      <c r="C17" s="6"/>
      <c r="D17" s="6"/>
      <c r="E17" s="6"/>
      <c r="F17" s="6"/>
      <c r="G17" s="20" t="s">
        <v>113</v>
      </c>
      <c r="H17" s="76">
        <f>IFERROR((B24-B9)/B9,"")</f>
        <v>-0.13043478260869565</v>
      </c>
      <c r="I17" s="6"/>
      <c r="J17" s="20" t="s">
        <v>113</v>
      </c>
      <c r="K17" s="76">
        <f>IFERROR((E24-E9)/E9,"")</f>
        <v>0.25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26" t="s">
        <v>82</v>
      </c>
      <c r="AC17" s="108"/>
      <c r="AD17" s="108"/>
      <c r="AE17" s="127"/>
    </row>
    <row r="18" spans="1:31" ht="16.5" customHeight="1" x14ac:dyDescent="0.35">
      <c r="A18" s="6"/>
      <c r="B18" s="6"/>
      <c r="C18" s="6"/>
      <c r="D18" s="6"/>
      <c r="E18" s="6"/>
      <c r="F18" s="6"/>
      <c r="G18" s="77" t="s">
        <v>104</v>
      </c>
      <c r="H18" s="78">
        <f>IFERROR((B25-B10)/B10,"")</f>
        <v>8.5365853658536592E-2</v>
      </c>
      <c r="J18" s="77" t="s">
        <v>33</v>
      </c>
      <c r="K18" s="78">
        <f>IFERROR((E25-E10)/E10,"")</f>
        <v>4.4303797468354431E-2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128" t="s">
        <v>83</v>
      </c>
      <c r="AC18" s="36" t="s">
        <v>76</v>
      </c>
      <c r="AD18" s="36" t="s">
        <v>57</v>
      </c>
      <c r="AE18" s="129" t="s">
        <v>58</v>
      </c>
    </row>
    <row r="19" spans="1:3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96" t="s">
        <v>86</v>
      </c>
      <c r="S19" s="96"/>
      <c r="T19" s="96"/>
      <c r="U19" s="96"/>
      <c r="V19" s="96"/>
      <c r="W19" s="96"/>
      <c r="X19" s="96"/>
      <c r="Y19" s="96"/>
      <c r="Z19" s="96"/>
      <c r="AA19" s="6"/>
      <c r="AB19" s="115" t="s">
        <v>78</v>
      </c>
      <c r="AC19" s="116">
        <f>X22-X7</f>
        <v>57367</v>
      </c>
      <c r="AD19" s="116">
        <f t="shared" ref="AD19:AE22" si="0">Y22-Y7</f>
        <v>3183</v>
      </c>
      <c r="AE19" s="117">
        <f t="shared" si="0"/>
        <v>98</v>
      </c>
    </row>
    <row r="20" spans="1:31" x14ac:dyDescent="0.35">
      <c r="A20" s="111" t="s">
        <v>106</v>
      </c>
      <c r="B20" s="111"/>
      <c r="C20" s="111"/>
      <c r="D20" s="111"/>
      <c r="E20" s="111"/>
      <c r="F20" s="6"/>
      <c r="G20" s="6"/>
      <c r="H20" s="6"/>
      <c r="I20" s="6"/>
      <c r="J20" s="6"/>
      <c r="K20" s="6"/>
      <c r="L20" s="6"/>
      <c r="M20" s="6"/>
      <c r="N20" s="52" t="s">
        <v>67</v>
      </c>
      <c r="O20" s="52"/>
      <c r="P20" s="52"/>
      <c r="Q20" s="6"/>
      <c r="R20" s="2" t="s">
        <v>68</v>
      </c>
      <c r="S20" s="2"/>
      <c r="T20" s="2"/>
      <c r="U20" s="2"/>
      <c r="V20" s="6"/>
      <c r="W20" s="52" t="s">
        <v>69</v>
      </c>
      <c r="X20" s="52"/>
      <c r="Y20" s="52"/>
      <c r="Z20" s="52"/>
      <c r="AA20" s="6"/>
      <c r="AB20" s="115" t="s">
        <v>78</v>
      </c>
      <c r="AC20" s="116">
        <f t="shared" ref="AC20:AC22" si="1">X23-X8</f>
        <v>-9496</v>
      </c>
      <c r="AD20" s="116">
        <f t="shared" si="0"/>
        <v>-3881</v>
      </c>
      <c r="AE20" s="117">
        <f t="shared" si="0"/>
        <v>-299</v>
      </c>
    </row>
    <row r="21" spans="1:31" ht="19" customHeight="1" x14ac:dyDescent="0.35">
      <c r="A21" s="10" t="s">
        <v>13</v>
      </c>
      <c r="B21" s="10" t="s">
        <v>10</v>
      </c>
      <c r="C21" s="6"/>
      <c r="D21" s="10" t="s">
        <v>13</v>
      </c>
      <c r="E21" s="10" t="s">
        <v>11</v>
      </c>
      <c r="F21" s="6"/>
      <c r="G21" s="6"/>
      <c r="H21" s="6"/>
      <c r="I21" s="6"/>
      <c r="J21" s="6"/>
      <c r="K21" s="6"/>
      <c r="L21" s="6"/>
      <c r="M21" s="6"/>
      <c r="N21" s="10" t="s">
        <v>70</v>
      </c>
      <c r="O21" s="10" t="s">
        <v>71</v>
      </c>
      <c r="P21" s="10" t="s">
        <v>72</v>
      </c>
      <c r="Q21" s="6"/>
      <c r="R21" s="36" t="s">
        <v>73</v>
      </c>
      <c r="S21" s="36" t="s">
        <v>9</v>
      </c>
      <c r="T21" s="36" t="s">
        <v>70</v>
      </c>
      <c r="U21" s="36" t="s">
        <v>74</v>
      </c>
      <c r="V21" s="6"/>
      <c r="W21" s="10" t="s">
        <v>75</v>
      </c>
      <c r="X21" s="10" t="s">
        <v>76</v>
      </c>
      <c r="Y21" s="10" t="s">
        <v>57</v>
      </c>
      <c r="Z21" s="10" t="s">
        <v>58</v>
      </c>
      <c r="AA21" s="6"/>
      <c r="AB21" s="115" t="s">
        <v>78</v>
      </c>
      <c r="AC21" s="116">
        <f t="shared" si="1"/>
        <v>-67488</v>
      </c>
      <c r="AD21" s="116">
        <f t="shared" si="0"/>
        <v>-12371</v>
      </c>
      <c r="AE21" s="117">
        <f t="shared" si="0"/>
        <v>-312</v>
      </c>
    </row>
    <row r="22" spans="1:31" x14ac:dyDescent="0.35">
      <c r="A22" s="13" t="s">
        <v>27</v>
      </c>
      <c r="B22" s="21">
        <v>127</v>
      </c>
      <c r="C22" s="6"/>
      <c r="D22" s="13" t="s">
        <v>27</v>
      </c>
      <c r="E22" s="14">
        <v>120</v>
      </c>
      <c r="F22" s="6"/>
      <c r="G22" s="6"/>
      <c r="I22" s="6"/>
      <c r="J22" s="6"/>
      <c r="K22" s="6"/>
      <c r="L22" s="6"/>
      <c r="M22" s="6"/>
      <c r="N22" s="20" t="s">
        <v>78</v>
      </c>
      <c r="O22" s="37">
        <f>COUNTIF($T$22:$T$31,N22)</f>
        <v>2</v>
      </c>
      <c r="P22" s="38">
        <f>AVERAGE(U22:U31)</f>
        <v>0.60880000000000001</v>
      </c>
      <c r="Q22" s="6"/>
      <c r="R22" s="39">
        <v>10414</v>
      </c>
      <c r="S22" s="40">
        <v>46274</v>
      </c>
      <c r="T22" s="41" t="s">
        <v>78</v>
      </c>
      <c r="U22" s="42">
        <v>0.6089</v>
      </c>
      <c r="V22" s="6"/>
      <c r="W22" s="39">
        <v>10414</v>
      </c>
      <c r="X22" s="21">
        <v>74673</v>
      </c>
      <c r="Y22" s="21">
        <v>8678</v>
      </c>
      <c r="Z22" s="21">
        <v>198</v>
      </c>
      <c r="AA22" s="6"/>
      <c r="AB22" s="115" t="s">
        <v>78</v>
      </c>
      <c r="AC22" s="130">
        <f t="shared" si="1"/>
        <v>-54833</v>
      </c>
      <c r="AD22" s="130">
        <f t="shared" si="0"/>
        <v>-9962</v>
      </c>
      <c r="AE22" s="131">
        <f t="shared" si="0"/>
        <v>-292</v>
      </c>
    </row>
    <row r="23" spans="1:31" x14ac:dyDescent="0.35">
      <c r="A23" s="20" t="s">
        <v>112</v>
      </c>
      <c r="B23" s="14">
        <v>31</v>
      </c>
      <c r="C23" s="6"/>
      <c r="D23" s="20" t="s">
        <v>112</v>
      </c>
      <c r="E23" s="14">
        <v>25</v>
      </c>
      <c r="F23" s="6"/>
      <c r="G23" s="6"/>
      <c r="H23" s="6"/>
      <c r="I23" s="6"/>
      <c r="J23" s="6"/>
      <c r="K23" s="6"/>
      <c r="L23" s="6"/>
      <c r="M23" s="6"/>
      <c r="N23" s="20"/>
      <c r="O23" s="37"/>
      <c r="P23" s="38"/>
      <c r="Q23" s="6"/>
      <c r="R23" s="39">
        <v>10415</v>
      </c>
      <c r="S23" s="40">
        <v>46274</v>
      </c>
      <c r="T23" s="41" t="s">
        <v>78</v>
      </c>
      <c r="U23" s="42">
        <v>0.60870000000000002</v>
      </c>
      <c r="V23" s="6"/>
      <c r="W23" s="39">
        <v>10415</v>
      </c>
      <c r="X23" s="21">
        <v>52266</v>
      </c>
      <c r="Y23" s="21">
        <v>7104</v>
      </c>
      <c r="Z23" s="21">
        <v>90</v>
      </c>
      <c r="AA23" s="6"/>
    </row>
    <row r="24" spans="1:31" x14ac:dyDescent="0.35">
      <c r="A24" s="20" t="s">
        <v>113</v>
      </c>
      <c r="B24" s="14">
        <v>20</v>
      </c>
      <c r="C24" s="6"/>
      <c r="D24" s="20" t="s">
        <v>113</v>
      </c>
      <c r="E24" s="14">
        <v>20</v>
      </c>
      <c r="F24" s="6"/>
      <c r="G24" s="6"/>
      <c r="H24" s="6"/>
      <c r="J24" s="6"/>
      <c r="K24" s="6"/>
      <c r="L24" s="6"/>
      <c r="M24" s="6"/>
      <c r="N24" s="20"/>
      <c r="O24" s="37"/>
      <c r="P24" s="38"/>
      <c r="Q24" s="6"/>
      <c r="R24" s="39"/>
      <c r="S24" s="40"/>
      <c r="T24" s="41"/>
      <c r="U24" s="42"/>
      <c r="V24" s="6"/>
      <c r="W24" s="39"/>
      <c r="X24" s="14"/>
      <c r="Y24" s="14"/>
      <c r="Z24" s="14"/>
      <c r="AA24" s="6"/>
    </row>
    <row r="25" spans="1:31" x14ac:dyDescent="0.35">
      <c r="B25" s="66">
        <f>SUMPRODUCT(B22:B24)</f>
        <v>178</v>
      </c>
      <c r="C25" s="6"/>
      <c r="E25" s="66">
        <f>SUMPRODUCT(E22:E24)</f>
        <v>165</v>
      </c>
      <c r="F25" s="6"/>
      <c r="G25" s="6"/>
      <c r="H25" s="6"/>
      <c r="I25" s="6"/>
      <c r="J25" s="6"/>
      <c r="K25" s="6"/>
      <c r="L25" s="6"/>
      <c r="M25" s="6"/>
      <c r="N25" s="22" t="s">
        <v>36</v>
      </c>
      <c r="O25" s="23">
        <f>SUM(O22:O24)</f>
        <v>2</v>
      </c>
      <c r="P25" s="44">
        <f>AVERAGE(P22:P24)</f>
        <v>0.60880000000000001</v>
      </c>
      <c r="Q25" s="6"/>
      <c r="R25" s="39"/>
      <c r="S25" s="40"/>
      <c r="T25" s="41"/>
      <c r="U25" s="42"/>
      <c r="V25" s="6"/>
      <c r="W25" s="39"/>
      <c r="X25" s="14"/>
      <c r="Y25" s="14"/>
      <c r="Z25" s="14"/>
      <c r="AA25" s="6"/>
    </row>
    <row r="26" spans="1:3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39"/>
      <c r="S26" s="40"/>
      <c r="T26" s="41"/>
      <c r="U26" s="42"/>
      <c r="V26" s="6"/>
      <c r="W26" s="39"/>
      <c r="X26" s="14"/>
      <c r="Y26" s="14"/>
      <c r="Z26" s="14"/>
      <c r="AA26" s="6"/>
    </row>
    <row r="27" spans="1:3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39"/>
      <c r="S27" s="40"/>
      <c r="T27" s="41"/>
      <c r="U27" s="42"/>
      <c r="V27" s="6"/>
      <c r="W27" s="39"/>
      <c r="X27" s="14"/>
      <c r="Y27" s="14"/>
      <c r="Z27" s="14"/>
      <c r="AA27" s="6"/>
    </row>
    <row r="28" spans="1:31" x14ac:dyDescent="0.35">
      <c r="A28" s="6"/>
      <c r="B28" s="6"/>
      <c r="C28" s="6"/>
      <c r="D28" s="6"/>
      <c r="E28" s="6"/>
      <c r="F28" s="6"/>
      <c r="G28" s="98" t="s">
        <v>4</v>
      </c>
      <c r="H28" s="98"/>
      <c r="I28" s="6"/>
      <c r="J28" s="1" t="s">
        <v>4</v>
      </c>
      <c r="K28" s="1"/>
      <c r="L28" s="6"/>
      <c r="M28" s="6"/>
      <c r="N28" s="6"/>
      <c r="O28" s="6"/>
      <c r="P28" s="6"/>
      <c r="Q28" s="6"/>
      <c r="R28" s="39"/>
      <c r="S28" s="40"/>
      <c r="T28" s="28"/>
      <c r="U28" s="42"/>
      <c r="V28" s="6"/>
      <c r="W28" s="39"/>
      <c r="X28" s="14"/>
      <c r="Y28" s="14"/>
      <c r="Z28" s="14"/>
      <c r="AA28" s="6"/>
    </row>
    <row r="29" spans="1:31" x14ac:dyDescent="0.35">
      <c r="A29" s="6"/>
      <c r="B29" s="6"/>
      <c r="C29" s="6"/>
      <c r="D29" s="6"/>
      <c r="E29" s="6"/>
      <c r="F29" s="6"/>
      <c r="G29" s="36" t="s">
        <v>13</v>
      </c>
      <c r="H29" s="36" t="s">
        <v>10</v>
      </c>
      <c r="I29" s="6"/>
      <c r="J29" s="36" t="s">
        <v>13</v>
      </c>
      <c r="K29" s="36" t="s">
        <v>11</v>
      </c>
      <c r="L29" s="6"/>
      <c r="M29" s="6"/>
      <c r="N29" s="6"/>
      <c r="O29" s="6"/>
      <c r="P29" s="6"/>
      <c r="Q29" s="6"/>
      <c r="R29" s="39"/>
      <c r="S29" s="40"/>
      <c r="T29" s="41"/>
      <c r="U29" s="42"/>
      <c r="V29" s="6"/>
      <c r="W29" s="39"/>
      <c r="X29" s="14"/>
      <c r="Y29" s="14"/>
      <c r="Z29" s="14"/>
      <c r="AA29" s="6"/>
    </row>
    <row r="30" spans="1:31" x14ac:dyDescent="0.35">
      <c r="A30" s="6"/>
      <c r="B30" s="6"/>
      <c r="C30" s="6"/>
      <c r="D30" s="6"/>
      <c r="E30" s="6"/>
      <c r="F30" s="6"/>
      <c r="G30" s="13" t="s">
        <v>27</v>
      </c>
      <c r="H30" s="74">
        <f>IFERROR((B40-B22)/B22,"")</f>
        <v>-1</v>
      </c>
      <c r="I30" s="6"/>
      <c r="J30" s="13" t="s">
        <v>27</v>
      </c>
      <c r="K30" s="76">
        <f>IFERROR((E40-E22)/E22,"")</f>
        <v>-1</v>
      </c>
      <c r="L30" s="6"/>
      <c r="M30" s="6"/>
      <c r="N30" s="6"/>
      <c r="O30" s="6"/>
      <c r="P30" s="6"/>
      <c r="Q30" s="6"/>
      <c r="R30" s="39"/>
      <c r="S30" s="40"/>
      <c r="T30" s="41"/>
      <c r="U30" s="42"/>
      <c r="V30" s="6"/>
      <c r="W30" s="39"/>
      <c r="X30" s="14"/>
      <c r="Y30" s="14"/>
      <c r="Z30" s="14"/>
      <c r="AA30" s="6"/>
    </row>
    <row r="31" spans="1:31" x14ac:dyDescent="0.35">
      <c r="A31" s="6"/>
      <c r="B31" s="6"/>
      <c r="C31" s="6"/>
      <c r="D31" s="6"/>
      <c r="E31" s="6"/>
      <c r="F31" s="6"/>
      <c r="G31" s="20" t="s">
        <v>112</v>
      </c>
      <c r="H31" s="74">
        <f>IFERROR((B41-B23)/B23,"")</f>
        <v>-1</v>
      </c>
      <c r="I31" s="6"/>
      <c r="J31" s="20" t="s">
        <v>112</v>
      </c>
      <c r="K31" s="76">
        <f>IFERROR((E41-E23)/E23,"")</f>
        <v>-1</v>
      </c>
      <c r="L31" s="6"/>
      <c r="M31" s="6"/>
      <c r="N31" s="6"/>
      <c r="O31" s="6"/>
      <c r="P31" s="6"/>
      <c r="Q31" s="6"/>
      <c r="R31" s="39"/>
      <c r="S31" s="40"/>
      <c r="T31" s="41"/>
      <c r="U31" s="42"/>
      <c r="V31" s="6"/>
      <c r="W31" s="39"/>
      <c r="X31" s="14"/>
      <c r="Y31" s="14"/>
      <c r="Z31" s="14"/>
      <c r="AA31" s="6"/>
    </row>
    <row r="32" spans="1:31" x14ac:dyDescent="0.35">
      <c r="A32" s="6"/>
      <c r="B32" s="6"/>
      <c r="C32" s="6"/>
      <c r="D32" s="6"/>
      <c r="E32" s="6"/>
      <c r="F32" s="6"/>
      <c r="G32" s="20" t="s">
        <v>113</v>
      </c>
      <c r="H32" s="74">
        <f>IFERROR((B42-B24)/B24,"")</f>
        <v>-1</v>
      </c>
      <c r="I32" s="6"/>
      <c r="J32" s="20" t="s">
        <v>113</v>
      </c>
      <c r="K32" s="76">
        <f>IFERROR((E42-E24)/E24,"")</f>
        <v>-1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49" t="s">
        <v>36</v>
      </c>
      <c r="X32" s="50">
        <f>SUM(X22:X31)</f>
        <v>126939</v>
      </c>
      <c r="Y32" s="50">
        <f>SUM(Y22:Y31)</f>
        <v>15782</v>
      </c>
      <c r="Z32" s="50">
        <f>SUM(Z22:Z31)</f>
        <v>288</v>
      </c>
    </row>
    <row r="33" spans="1:31" x14ac:dyDescent="0.35">
      <c r="A33" s="6"/>
      <c r="B33" s="6"/>
      <c r="C33" s="6"/>
      <c r="D33" s="6"/>
      <c r="E33" s="6"/>
      <c r="F33" s="6"/>
      <c r="G33" s="77" t="s">
        <v>104</v>
      </c>
      <c r="H33" s="114">
        <f>IFERROR((B43-B25)/B25,"")</f>
        <v>-1</v>
      </c>
      <c r="J33" s="77" t="s">
        <v>33</v>
      </c>
      <c r="K33" s="78">
        <f>IFERROR((E43-E25)/E25,"")</f>
        <v>-1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123" t="s">
        <v>86</v>
      </c>
      <c r="AC33" s="124"/>
      <c r="AD33" s="124"/>
      <c r="AE33" s="125"/>
    </row>
    <row r="34" spans="1:31" x14ac:dyDescent="0.35">
      <c r="A34" s="6"/>
      <c r="B34" s="6"/>
      <c r="C34" s="6"/>
      <c r="D34" s="6"/>
      <c r="E34" s="6"/>
      <c r="F34" s="6"/>
      <c r="G34" s="132"/>
      <c r="H34" s="133"/>
      <c r="J34" s="132"/>
      <c r="K34" s="13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126" t="s">
        <v>82</v>
      </c>
      <c r="AC34" s="108"/>
      <c r="AD34" s="108"/>
      <c r="AE34" s="127"/>
    </row>
    <row r="35" spans="1:31" x14ac:dyDescent="0.35">
      <c r="A35" s="6"/>
      <c r="B35" s="6"/>
      <c r="C35" s="6"/>
      <c r="D35" s="6"/>
      <c r="E35" s="6"/>
      <c r="F35" s="6"/>
      <c r="G35" s="132"/>
      <c r="H35" s="133"/>
      <c r="J35" s="132"/>
      <c r="K35" s="13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128" t="s">
        <v>83</v>
      </c>
      <c r="AC35" s="36" t="s">
        <v>76</v>
      </c>
      <c r="AD35" s="36" t="s">
        <v>57</v>
      </c>
      <c r="AE35" s="129" t="s">
        <v>58</v>
      </c>
    </row>
    <row r="36" spans="1:31" x14ac:dyDescent="0.35">
      <c r="A36" s="6"/>
      <c r="B36" s="6"/>
      <c r="C36" s="6"/>
      <c r="D36" s="6"/>
      <c r="E36" s="6"/>
      <c r="F36" s="6"/>
      <c r="G36" s="132"/>
      <c r="H36" s="133"/>
      <c r="J36" s="132"/>
      <c r="K36" s="13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115" t="s">
        <v>78</v>
      </c>
      <c r="AC36" s="116">
        <f>X40-X22</f>
        <v>-74673</v>
      </c>
      <c r="AD36" s="116">
        <f t="shared" ref="AD36:AE39" si="2">Y40-Y22</f>
        <v>-8678</v>
      </c>
      <c r="AE36" s="117">
        <f t="shared" si="2"/>
        <v>-198</v>
      </c>
    </row>
    <row r="37" spans="1:3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96" t="s">
        <v>88</v>
      </c>
      <c r="S37" s="96"/>
      <c r="T37" s="96"/>
      <c r="U37" s="96"/>
      <c r="V37" s="96"/>
      <c r="W37" s="96"/>
      <c r="X37" s="96"/>
      <c r="Y37" s="96"/>
      <c r="Z37" s="96"/>
      <c r="AA37" s="6"/>
      <c r="AB37" s="115" t="s">
        <v>78</v>
      </c>
      <c r="AC37" s="116">
        <f t="shared" ref="AC37:AC39" si="3">X41-X23</f>
        <v>-52266</v>
      </c>
      <c r="AD37" s="116">
        <f t="shared" si="2"/>
        <v>-7104</v>
      </c>
      <c r="AE37" s="117">
        <f t="shared" si="2"/>
        <v>-90</v>
      </c>
    </row>
    <row r="38" spans="1:31" x14ac:dyDescent="0.35">
      <c r="A38" s="111" t="s">
        <v>88</v>
      </c>
      <c r="B38" s="111"/>
      <c r="C38" s="111"/>
      <c r="D38" s="111"/>
      <c r="E38" s="111"/>
      <c r="F38" s="6"/>
      <c r="G38" s="6"/>
      <c r="H38" s="6"/>
      <c r="I38" s="6"/>
      <c r="J38" s="6"/>
      <c r="K38" s="6"/>
      <c r="L38" s="6"/>
      <c r="M38" s="6"/>
      <c r="N38" s="52" t="s">
        <v>67</v>
      </c>
      <c r="O38" s="52"/>
      <c r="P38" s="52"/>
      <c r="Q38" s="6"/>
      <c r="R38" s="2" t="s">
        <v>68</v>
      </c>
      <c r="S38" s="2"/>
      <c r="T38" s="2"/>
      <c r="U38" s="2"/>
      <c r="V38" s="6"/>
      <c r="W38" s="52" t="s">
        <v>69</v>
      </c>
      <c r="X38" s="52"/>
      <c r="Y38" s="52"/>
      <c r="Z38" s="52"/>
      <c r="AA38" s="6"/>
      <c r="AB38" s="115" t="s">
        <v>78</v>
      </c>
      <c r="AC38" s="116">
        <f t="shared" si="3"/>
        <v>0</v>
      </c>
      <c r="AD38" s="116">
        <f t="shared" si="2"/>
        <v>0</v>
      </c>
      <c r="AE38" s="117">
        <f t="shared" si="2"/>
        <v>0</v>
      </c>
    </row>
    <row r="39" spans="1:31" ht="19" customHeight="1" x14ac:dyDescent="0.35">
      <c r="A39" s="10" t="s">
        <v>13</v>
      </c>
      <c r="B39" s="10" t="s">
        <v>10</v>
      </c>
      <c r="C39" s="6"/>
      <c r="D39" s="10" t="s">
        <v>13</v>
      </c>
      <c r="E39" s="10" t="s">
        <v>11</v>
      </c>
      <c r="F39" s="6"/>
      <c r="G39" s="6"/>
      <c r="H39" s="6"/>
      <c r="I39" s="6"/>
      <c r="J39" s="6"/>
      <c r="K39" s="6"/>
      <c r="L39" s="6"/>
      <c r="M39" s="6"/>
      <c r="N39" s="10" t="s">
        <v>70</v>
      </c>
      <c r="O39" s="10" t="s">
        <v>71</v>
      </c>
      <c r="P39" s="10" t="s">
        <v>72</v>
      </c>
      <c r="Q39" s="6"/>
      <c r="R39" s="36" t="s">
        <v>73</v>
      </c>
      <c r="S39" s="36" t="s">
        <v>9</v>
      </c>
      <c r="T39" s="36" t="s">
        <v>70</v>
      </c>
      <c r="U39" s="36" t="s">
        <v>74</v>
      </c>
      <c r="V39" s="6"/>
      <c r="W39" s="10" t="s">
        <v>75</v>
      </c>
      <c r="X39" s="10" t="s">
        <v>76</v>
      </c>
      <c r="Y39" s="10" t="s">
        <v>57</v>
      </c>
      <c r="Z39" s="10" t="s">
        <v>58</v>
      </c>
      <c r="AA39" s="6"/>
      <c r="AB39" s="115" t="s">
        <v>78</v>
      </c>
      <c r="AC39" s="130">
        <f t="shared" si="3"/>
        <v>0</v>
      </c>
      <c r="AD39" s="130">
        <f t="shared" si="2"/>
        <v>0</v>
      </c>
      <c r="AE39" s="131">
        <f t="shared" si="2"/>
        <v>0</v>
      </c>
    </row>
    <row r="40" spans="1:31" x14ac:dyDescent="0.35">
      <c r="A40" s="13" t="s">
        <v>27</v>
      </c>
      <c r="B40" s="14"/>
      <c r="C40" s="6"/>
      <c r="D40" s="13" t="s">
        <v>27</v>
      </c>
      <c r="E40" s="14"/>
      <c r="F40" s="6"/>
      <c r="G40" s="6"/>
      <c r="H40" s="6"/>
      <c r="I40" s="6"/>
      <c r="J40" s="6"/>
      <c r="K40" s="6"/>
      <c r="L40" s="6"/>
      <c r="M40" s="6"/>
      <c r="N40" s="20" t="s">
        <v>78</v>
      </c>
      <c r="O40" s="37">
        <f>COUNTIF($T$40:$T$49,N40)</f>
        <v>0</v>
      </c>
      <c r="P40" s="38" t="e">
        <f>AVERAGE(U40:U49)</f>
        <v>#DIV/0!</v>
      </c>
      <c r="Q40" s="6"/>
      <c r="R40" s="39"/>
      <c r="S40" s="40"/>
      <c r="T40" s="41"/>
      <c r="U40" s="42"/>
      <c r="V40" s="6"/>
      <c r="W40" s="39"/>
      <c r="X40" s="21"/>
      <c r="Y40" s="21"/>
      <c r="Z40" s="21"/>
      <c r="AA40" s="6"/>
    </row>
    <row r="41" spans="1:31" x14ac:dyDescent="0.35">
      <c r="A41" s="20" t="s">
        <v>112</v>
      </c>
      <c r="B41" s="14"/>
      <c r="C41" s="6"/>
      <c r="D41" s="20" t="s">
        <v>112</v>
      </c>
      <c r="E41" s="14"/>
      <c r="F41" s="6"/>
      <c r="G41" s="6"/>
      <c r="H41" s="6"/>
      <c r="I41" s="6"/>
      <c r="J41" s="6"/>
      <c r="K41" s="6"/>
      <c r="L41" s="6"/>
      <c r="M41" s="6"/>
      <c r="N41" s="20"/>
      <c r="O41" s="37"/>
      <c r="P41" s="38"/>
      <c r="Q41" s="6"/>
      <c r="R41" s="39"/>
      <c r="S41" s="40"/>
      <c r="T41" s="41"/>
      <c r="U41" s="42"/>
      <c r="V41" s="6"/>
      <c r="W41" s="39"/>
      <c r="X41" s="14"/>
      <c r="Y41" s="14"/>
      <c r="Z41" s="14"/>
      <c r="AA41" s="6"/>
    </row>
    <row r="42" spans="1:31" x14ac:dyDescent="0.35">
      <c r="A42" s="20" t="s">
        <v>113</v>
      </c>
      <c r="B42" s="14"/>
      <c r="C42" s="6"/>
      <c r="D42" s="20" t="s">
        <v>113</v>
      </c>
      <c r="E42" s="14"/>
      <c r="F42" s="6"/>
      <c r="G42" s="6"/>
      <c r="H42" s="6"/>
      <c r="I42" s="6"/>
      <c r="J42" s="6"/>
      <c r="K42" s="6"/>
      <c r="L42" s="6"/>
      <c r="M42" s="6"/>
      <c r="N42" s="20"/>
      <c r="O42" s="37"/>
      <c r="P42" s="38"/>
      <c r="Q42" s="6"/>
      <c r="R42" s="39"/>
      <c r="S42" s="40"/>
      <c r="T42" s="41"/>
      <c r="U42" s="42"/>
      <c r="V42" s="6"/>
      <c r="W42" s="39"/>
      <c r="X42" s="14"/>
      <c r="Y42" s="14"/>
      <c r="Z42" s="14"/>
      <c r="AA42" s="6"/>
    </row>
    <row r="43" spans="1:31" x14ac:dyDescent="0.35">
      <c r="B43" s="66">
        <f>SUMPRODUCT(B40:B42)</f>
        <v>0</v>
      </c>
      <c r="C43" s="6"/>
      <c r="E43" s="66">
        <f>SUMPRODUCT(E40:E42)</f>
        <v>0</v>
      </c>
      <c r="F43" s="6"/>
      <c r="G43" s="6"/>
      <c r="H43" s="6"/>
      <c r="I43" s="6"/>
      <c r="J43" s="6"/>
      <c r="K43" s="6"/>
      <c r="L43" s="6"/>
      <c r="M43" s="6"/>
      <c r="N43" s="22" t="s">
        <v>36</v>
      </c>
      <c r="O43" s="23">
        <f>SUM(O40:O42)</f>
        <v>0</v>
      </c>
      <c r="P43" s="44" t="e">
        <f>AVERAGE(P40:P41)</f>
        <v>#DIV/0!</v>
      </c>
      <c r="Q43" s="6"/>
      <c r="R43" s="39"/>
      <c r="S43" s="40"/>
      <c r="T43" s="41"/>
      <c r="U43" s="42"/>
      <c r="V43" s="6"/>
      <c r="W43" s="39"/>
      <c r="X43" s="14"/>
      <c r="Y43" s="14"/>
      <c r="Z43" s="14"/>
      <c r="AA43" s="6"/>
    </row>
    <row r="44" spans="1:3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39"/>
      <c r="S44" s="40"/>
      <c r="T44" s="41"/>
      <c r="U44" s="42"/>
      <c r="V44" s="6"/>
      <c r="W44" s="39"/>
      <c r="X44" s="14"/>
      <c r="Y44" s="14"/>
      <c r="Z44" s="14"/>
      <c r="AA44" s="6"/>
    </row>
    <row r="45" spans="1:3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39"/>
      <c r="S45" s="40"/>
      <c r="T45" s="41"/>
      <c r="U45" s="42"/>
      <c r="V45" s="6"/>
      <c r="W45" s="39"/>
      <c r="X45" s="14"/>
      <c r="Y45" s="14"/>
      <c r="Z45" s="14"/>
      <c r="AA45" s="6"/>
    </row>
    <row r="46" spans="1:3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39"/>
      <c r="S46" s="40"/>
      <c r="T46" s="28"/>
      <c r="U46" s="42"/>
      <c r="V46" s="6"/>
      <c r="W46" s="39"/>
      <c r="X46" s="14"/>
      <c r="Y46" s="14"/>
      <c r="Z46" s="14"/>
      <c r="AA46" s="6"/>
    </row>
    <row r="47" spans="1:31" x14ac:dyDescent="0.35">
      <c r="A47" s="6"/>
      <c r="B47" s="6"/>
      <c r="C47" s="6"/>
      <c r="D47" s="6"/>
      <c r="E47" s="6"/>
      <c r="F47" s="6"/>
      <c r="G47" s="98" t="s">
        <v>4</v>
      </c>
      <c r="H47" s="98"/>
      <c r="I47" s="6"/>
      <c r="J47" s="1" t="s">
        <v>4</v>
      </c>
      <c r="K47" s="1"/>
      <c r="L47" s="6"/>
      <c r="M47" s="6"/>
      <c r="N47" s="6"/>
      <c r="O47" s="6"/>
      <c r="P47" s="6"/>
      <c r="Q47" s="6"/>
      <c r="R47" s="39"/>
      <c r="S47" s="40"/>
      <c r="T47" s="41"/>
      <c r="U47" s="42"/>
      <c r="V47" s="6"/>
      <c r="W47" s="39"/>
      <c r="X47" s="14"/>
      <c r="Y47" s="14"/>
      <c r="Z47" s="14"/>
      <c r="AA47" s="6"/>
    </row>
    <row r="48" spans="1:31" x14ac:dyDescent="0.35">
      <c r="A48" s="6"/>
      <c r="B48" s="6"/>
      <c r="C48" s="6"/>
      <c r="D48" s="6"/>
      <c r="E48" s="6"/>
      <c r="F48" s="6"/>
      <c r="G48" s="36" t="s">
        <v>13</v>
      </c>
      <c r="H48" s="36" t="s">
        <v>10</v>
      </c>
      <c r="I48" s="6"/>
      <c r="J48" s="36" t="s">
        <v>13</v>
      </c>
      <c r="K48" s="36" t="s">
        <v>11</v>
      </c>
      <c r="L48" s="6"/>
      <c r="M48" s="6"/>
      <c r="N48" s="6"/>
      <c r="O48" s="6"/>
      <c r="P48" s="6"/>
      <c r="Q48" s="6"/>
      <c r="R48" s="39"/>
      <c r="S48" s="40"/>
      <c r="T48" s="41"/>
      <c r="U48" s="42"/>
      <c r="V48" s="6"/>
      <c r="W48" s="39"/>
      <c r="X48" s="14"/>
      <c r="Y48" s="14"/>
      <c r="Z48" s="14"/>
      <c r="AA48" s="6"/>
    </row>
    <row r="49" spans="1:27" x14ac:dyDescent="0.35">
      <c r="A49" s="6"/>
      <c r="B49" s="6"/>
      <c r="C49" s="6"/>
      <c r="D49" s="6"/>
      <c r="E49" s="6"/>
      <c r="F49" s="6"/>
      <c r="G49" s="13" t="s">
        <v>27</v>
      </c>
      <c r="H49" s="74" t="str">
        <f>IFERROR((B57-B40)/B40,"")</f>
        <v/>
      </c>
      <c r="I49" s="6"/>
      <c r="J49" s="13" t="s">
        <v>27</v>
      </c>
      <c r="K49" s="74" t="str">
        <f>IFERROR((E57-E40)/E40,"")</f>
        <v/>
      </c>
      <c r="L49" s="6"/>
      <c r="M49" s="6"/>
      <c r="N49" s="6"/>
      <c r="O49" s="6"/>
      <c r="P49" s="6"/>
      <c r="Q49" s="6"/>
      <c r="R49" s="39"/>
      <c r="S49" s="40"/>
      <c r="T49" s="41"/>
      <c r="U49" s="42"/>
      <c r="V49" s="6"/>
      <c r="W49" s="39"/>
      <c r="X49" s="14"/>
      <c r="Y49" s="14"/>
      <c r="Z49" s="14"/>
      <c r="AA49" s="6"/>
    </row>
    <row r="50" spans="1:27" x14ac:dyDescent="0.35">
      <c r="A50" s="6"/>
      <c r="B50" s="6"/>
      <c r="C50" s="6"/>
      <c r="D50" s="6"/>
      <c r="E50" s="6"/>
      <c r="F50" s="6"/>
      <c r="G50" s="20" t="s">
        <v>112</v>
      </c>
      <c r="H50" s="76" t="str">
        <f>IFERROR((#REF!-B41)/B41,"")</f>
        <v/>
      </c>
      <c r="I50" s="6"/>
      <c r="J50" s="20" t="s">
        <v>112</v>
      </c>
      <c r="K50" s="76" t="str">
        <f>IFERROR((#REF!-E41)/E41,"")</f>
        <v/>
      </c>
      <c r="L50" s="6"/>
      <c r="M50" s="6"/>
      <c r="N50" s="6"/>
      <c r="P50" s="6"/>
      <c r="Q50" s="6"/>
      <c r="R50" s="6"/>
      <c r="S50" s="6"/>
      <c r="T50" s="6"/>
      <c r="U50" s="6"/>
      <c r="V50" s="6"/>
      <c r="W50" s="49" t="s">
        <v>36</v>
      </c>
      <c r="X50" s="50">
        <f>SUM(X40:X49)</f>
        <v>0</v>
      </c>
      <c r="Y50" s="50">
        <f>SUM(Y40:Y49)</f>
        <v>0</v>
      </c>
      <c r="Z50" s="50">
        <f>SUM(Z40:Z49)</f>
        <v>0</v>
      </c>
      <c r="AA50" s="6"/>
    </row>
    <row r="51" spans="1:27" x14ac:dyDescent="0.35">
      <c r="A51" s="6"/>
      <c r="B51" s="6"/>
      <c r="C51" s="6"/>
      <c r="D51" s="6"/>
      <c r="E51" s="6"/>
      <c r="F51" s="6"/>
      <c r="G51" s="20" t="s">
        <v>113</v>
      </c>
      <c r="H51" s="76" t="str">
        <f ca="1">IFERROR((B58-B42)/B42,"")</f>
        <v/>
      </c>
      <c r="I51" s="6"/>
      <c r="J51" s="20" t="s">
        <v>113</v>
      </c>
      <c r="K51" s="76" t="str">
        <f ca="1">IFERROR((E58-E42)/E42,"")</f>
        <v/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x14ac:dyDescent="0.35">
      <c r="A52" s="6"/>
      <c r="B52" s="6"/>
      <c r="C52" s="6"/>
      <c r="D52" s="6"/>
      <c r="E52" s="6"/>
      <c r="F52" s="6"/>
      <c r="G52" s="77" t="s">
        <v>104</v>
      </c>
      <c r="H52" s="78" t="str">
        <f>IFERROR((#REF!-B43)/B43,"")</f>
        <v/>
      </c>
      <c r="J52" s="77" t="s">
        <v>33</v>
      </c>
      <c r="K52" s="78" t="str">
        <f>IFERROR((#REF!-E43)/E43,"")</f>
        <v/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x14ac:dyDescent="0.35">
      <c r="A53" s="111" t="s">
        <v>91</v>
      </c>
      <c r="B53" s="111"/>
      <c r="C53" s="111"/>
      <c r="D53" s="111"/>
      <c r="E53" s="111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x14ac:dyDescent="0.35">
      <c r="A54" s="10" t="s">
        <v>13</v>
      </c>
      <c r="B54" s="10" t="s">
        <v>10</v>
      </c>
      <c r="C54" s="6"/>
      <c r="D54" s="10" t="s">
        <v>13</v>
      </c>
      <c r="E54" s="10" t="s">
        <v>11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96" t="s">
        <v>91</v>
      </c>
      <c r="S54" s="96"/>
      <c r="T54" s="96"/>
      <c r="U54" s="96"/>
      <c r="V54" s="96"/>
      <c r="W54" s="96"/>
      <c r="X54" s="96"/>
      <c r="Y54" s="96"/>
      <c r="Z54" s="96"/>
      <c r="AA54" s="6"/>
    </row>
    <row r="55" spans="1:27" x14ac:dyDescent="0.35">
      <c r="A55" s="13" t="s">
        <v>27</v>
      </c>
      <c r="B55" s="14"/>
      <c r="C55" s="6"/>
      <c r="D55" s="13" t="s">
        <v>27</v>
      </c>
      <c r="E55" s="14"/>
      <c r="F55" s="6"/>
      <c r="G55" s="6"/>
      <c r="H55" s="6"/>
      <c r="I55" s="6"/>
      <c r="J55" s="6"/>
      <c r="K55" s="6"/>
      <c r="L55" s="6"/>
      <c r="M55" s="6"/>
      <c r="N55" s="52" t="s">
        <v>67</v>
      </c>
      <c r="O55" s="52"/>
      <c r="P55" s="52"/>
      <c r="Q55" s="6"/>
      <c r="R55" s="2" t="s">
        <v>68</v>
      </c>
      <c r="S55" s="2"/>
      <c r="T55" s="2"/>
      <c r="U55" s="2"/>
      <c r="V55" s="6"/>
      <c r="W55" s="52" t="s">
        <v>69</v>
      </c>
      <c r="X55" s="52"/>
      <c r="Y55" s="52"/>
      <c r="Z55" s="52"/>
      <c r="AA55" s="6"/>
    </row>
    <row r="56" spans="1:27" ht="16" customHeight="1" x14ac:dyDescent="0.35">
      <c r="A56" s="20" t="s">
        <v>112</v>
      </c>
      <c r="B56" s="14"/>
      <c r="C56" s="6"/>
      <c r="D56" s="20" t="s">
        <v>112</v>
      </c>
      <c r="E56" s="14"/>
      <c r="F56" s="6"/>
      <c r="G56" s="6"/>
      <c r="H56" s="6"/>
      <c r="I56" s="6"/>
      <c r="J56" s="6"/>
      <c r="K56" s="6"/>
      <c r="L56" s="6"/>
      <c r="M56" s="6"/>
      <c r="N56" s="10" t="s">
        <v>70</v>
      </c>
      <c r="O56" s="10" t="s">
        <v>71</v>
      </c>
      <c r="P56" s="10" t="s">
        <v>72</v>
      </c>
      <c r="Q56" s="6"/>
      <c r="R56" s="36" t="s">
        <v>73</v>
      </c>
      <c r="S56" s="36" t="s">
        <v>9</v>
      </c>
      <c r="T56" s="36" t="s">
        <v>70</v>
      </c>
      <c r="U56" s="36" t="s">
        <v>74</v>
      </c>
      <c r="V56" s="6"/>
      <c r="W56" s="10" t="s">
        <v>75</v>
      </c>
      <c r="X56" s="10" t="s">
        <v>76</v>
      </c>
      <c r="Y56" s="10" t="s">
        <v>57</v>
      </c>
      <c r="Z56" s="10" t="s">
        <v>58</v>
      </c>
      <c r="AA56" s="6"/>
    </row>
    <row r="57" spans="1:27" x14ac:dyDescent="0.35">
      <c r="A57" s="20" t="s">
        <v>113</v>
      </c>
      <c r="B57" s="14"/>
      <c r="C57" s="6"/>
      <c r="D57" s="20" t="s">
        <v>113</v>
      </c>
      <c r="E57" s="14"/>
      <c r="F57" s="6"/>
      <c r="G57" s="6"/>
      <c r="H57" s="6"/>
      <c r="I57" s="6"/>
      <c r="J57" s="6"/>
      <c r="K57" s="6"/>
      <c r="L57" s="6"/>
      <c r="M57" s="6"/>
      <c r="N57" s="20" t="s">
        <v>78</v>
      </c>
      <c r="O57" s="37">
        <f>COUNTIF($T$57:$T$67,N57)</f>
        <v>0</v>
      </c>
      <c r="P57" s="38" t="e">
        <f>AVERAGE(U57:U67)</f>
        <v>#DIV/0!</v>
      </c>
      <c r="Q57" s="6"/>
      <c r="R57" s="39"/>
      <c r="S57" s="40"/>
      <c r="T57" s="41"/>
      <c r="U57" s="42"/>
      <c r="V57" s="6"/>
      <c r="W57" s="39"/>
      <c r="X57" s="21"/>
      <c r="Y57" s="21"/>
      <c r="Z57" s="21"/>
      <c r="AA57" s="6"/>
    </row>
    <row r="58" spans="1:27" x14ac:dyDescent="0.35">
      <c r="A58" s="6"/>
      <c r="B58" s="66">
        <f ca="1">SUMPRODUCT(B55:B58)</f>
        <v>0</v>
      </c>
      <c r="C58" s="6"/>
      <c r="E58" s="66">
        <f ca="1">SUMPRODUCT(E55:E58)</f>
        <v>0</v>
      </c>
      <c r="F58" s="6"/>
      <c r="G58" s="6"/>
      <c r="H58" s="6"/>
      <c r="I58" s="6"/>
      <c r="J58" s="6"/>
      <c r="K58" s="6"/>
      <c r="L58" s="6"/>
      <c r="M58" s="6"/>
      <c r="N58" s="20"/>
      <c r="O58" s="37"/>
      <c r="P58" s="38"/>
      <c r="Q58" s="6"/>
      <c r="R58" s="39"/>
      <c r="S58" s="40"/>
      <c r="T58" s="41"/>
      <c r="U58" s="42"/>
      <c r="V58" s="6"/>
      <c r="W58" s="39"/>
      <c r="X58" s="14"/>
      <c r="Y58" s="14"/>
      <c r="Z58" s="14"/>
      <c r="AA58" s="6"/>
    </row>
    <row r="59" spans="1:27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20"/>
      <c r="O59" s="37"/>
      <c r="P59" s="38"/>
      <c r="Q59" s="6"/>
      <c r="R59" s="39"/>
      <c r="S59" s="40"/>
      <c r="T59" s="41"/>
      <c r="U59" s="42"/>
      <c r="V59" s="6"/>
      <c r="W59" s="39"/>
      <c r="X59" s="14"/>
      <c r="Y59" s="14"/>
      <c r="Z59" s="14"/>
      <c r="AA59" s="6"/>
    </row>
    <row r="60" spans="1:27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22" t="s">
        <v>36</v>
      </c>
      <c r="O60" s="23">
        <f ca="1">SUM(O57:O60)</f>
        <v>0</v>
      </c>
      <c r="P60" s="44" t="e">
        <f>AVERAGE(P57:P59)</f>
        <v>#DIV/0!</v>
      </c>
      <c r="Q60" s="6"/>
      <c r="R60" s="39"/>
      <c r="S60" s="40"/>
      <c r="T60" s="41"/>
      <c r="U60" s="42"/>
      <c r="V60" s="6"/>
      <c r="W60" s="39"/>
      <c r="X60" s="14"/>
      <c r="Y60" s="14"/>
      <c r="Z60" s="14"/>
      <c r="AA60" s="6"/>
    </row>
    <row r="61" spans="1:27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39"/>
      <c r="S61" s="40"/>
      <c r="T61" s="41"/>
      <c r="U61" s="42"/>
      <c r="V61" s="6"/>
      <c r="W61" s="39"/>
      <c r="X61" s="14"/>
      <c r="Y61" s="14"/>
      <c r="Z61" s="14"/>
      <c r="AA61" s="6"/>
    </row>
    <row r="62" spans="1:27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39"/>
      <c r="S62" s="40"/>
      <c r="T62" s="41"/>
      <c r="U62" s="42"/>
      <c r="V62" s="6"/>
      <c r="W62" s="39"/>
      <c r="X62" s="14"/>
      <c r="Y62" s="14"/>
      <c r="Z62" s="14"/>
      <c r="AA62" s="6"/>
    </row>
    <row r="63" spans="1:27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39"/>
      <c r="S63" s="40"/>
      <c r="T63" s="41"/>
      <c r="U63" s="42"/>
      <c r="V63" s="6"/>
      <c r="W63" s="39"/>
      <c r="X63" s="14"/>
      <c r="Y63" s="14"/>
      <c r="Z63" s="14"/>
      <c r="AA63" s="6"/>
    </row>
    <row r="64" spans="1:27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39"/>
      <c r="S64" s="40"/>
      <c r="T64" s="28"/>
      <c r="U64" s="42"/>
      <c r="V64" s="6"/>
      <c r="W64" s="39"/>
      <c r="X64" s="14"/>
      <c r="Y64" s="14"/>
      <c r="Z64" s="14"/>
      <c r="AA64" s="6"/>
    </row>
    <row r="65" spans="1:27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39"/>
      <c r="S65" s="40"/>
      <c r="T65" s="41"/>
      <c r="U65" s="42"/>
      <c r="V65" s="6"/>
      <c r="W65" s="39"/>
      <c r="X65" s="14"/>
      <c r="Y65" s="14"/>
      <c r="Z65" s="14"/>
      <c r="AA65" s="6"/>
    </row>
    <row r="66" spans="1:27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39"/>
      <c r="S66" s="40"/>
      <c r="T66" s="41"/>
      <c r="U66" s="42"/>
      <c r="V66" s="6"/>
      <c r="W66" s="39"/>
      <c r="X66" s="14"/>
      <c r="Y66" s="14"/>
      <c r="Z66" s="14"/>
    </row>
    <row r="67" spans="1:27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39"/>
      <c r="S67" s="40"/>
      <c r="T67" s="41"/>
      <c r="U67" s="42"/>
      <c r="V67" s="6"/>
      <c r="W67" s="39"/>
      <c r="X67" s="14"/>
      <c r="Y67" s="14"/>
      <c r="Z67" s="14"/>
    </row>
    <row r="68" spans="1:27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49" t="s">
        <v>36</v>
      </c>
      <c r="X68" s="50">
        <f>SUM(X57:X67)</f>
        <v>0</v>
      </c>
      <c r="Y68" s="50">
        <f>SUM(Y57:Y67)</f>
        <v>0</v>
      </c>
      <c r="Z68" s="50">
        <f>SUM(Z57:Z67)</f>
        <v>0</v>
      </c>
    </row>
    <row r="69" spans="1:27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7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7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7" x14ac:dyDescent="0.35">
      <c r="L73" s="6"/>
      <c r="M73" s="6"/>
      <c r="N73" s="6"/>
      <c r="O73" s="6"/>
      <c r="P73" s="6"/>
      <c r="Q73" s="6"/>
      <c r="R73" s="6"/>
      <c r="S73" s="6"/>
      <c r="T73" s="6"/>
      <c r="U73" s="6"/>
    </row>
  </sheetData>
  <mergeCells count="18">
    <mergeCell ref="AB16:AE16"/>
    <mergeCell ref="AB17:AE17"/>
    <mergeCell ref="AB33:AE33"/>
    <mergeCell ref="AB34:AE34"/>
    <mergeCell ref="A1:C1"/>
    <mergeCell ref="A4:E4"/>
    <mergeCell ref="R4:Z4"/>
    <mergeCell ref="A5:E5"/>
    <mergeCell ref="G47:H47"/>
    <mergeCell ref="A53:E53"/>
    <mergeCell ref="R54:Z54"/>
    <mergeCell ref="A3:D3"/>
    <mergeCell ref="G13:H13"/>
    <mergeCell ref="R19:Z19"/>
    <mergeCell ref="A20:E20"/>
    <mergeCell ref="G28:H28"/>
    <mergeCell ref="R37:Z37"/>
    <mergeCell ref="A38:E38"/>
  </mergeCells>
  <dataValidations count="1">
    <dataValidation type="list" allowBlank="1" sqref="T57:T67 T40:T49 T22:T31 T7:T13 AB19:AB22 AB36:AB39" xr:uid="{9B892C68-CEE3-4C00-B3F2-AB2D8D44D0B7}">
      <formula1>"Goiânia"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550F-B0C1-4978-8A16-9B9C4B36EFA6}">
  <sheetPr>
    <tabColor rgb="FF002060"/>
  </sheetPr>
  <dimension ref="A1:AD125"/>
  <sheetViews>
    <sheetView topLeftCell="F1" workbookViewId="0">
      <selection activeCell="AA27" sqref="AA27"/>
    </sheetView>
  </sheetViews>
  <sheetFormatPr defaultRowHeight="14.5" x14ac:dyDescent="0.35"/>
  <cols>
    <col min="3" max="3" width="13.1796875" customWidth="1"/>
    <col min="5" max="5" width="10.54296875" customWidth="1"/>
    <col min="6" max="6" width="27.81640625" customWidth="1"/>
    <col min="8" max="8" width="11.7265625" customWidth="1"/>
    <col min="9" max="9" width="3.54296875" customWidth="1"/>
    <col min="11" max="11" width="11.453125" customWidth="1"/>
    <col min="13" max="13" width="3.26953125" customWidth="1"/>
    <col min="14" max="14" width="23" bestFit="1" customWidth="1"/>
    <col min="16" max="16" width="13.1796875" bestFit="1" customWidth="1"/>
    <col min="17" max="17" width="3.54296875" customWidth="1"/>
    <col min="18" max="18" width="18.26953125" bestFit="1" customWidth="1"/>
    <col min="19" max="19" width="6.54296875" customWidth="1"/>
    <col min="20" max="20" width="11.453125" bestFit="1" customWidth="1"/>
    <col min="21" max="21" width="14.1796875" bestFit="1" customWidth="1"/>
    <col min="25" max="25" width="11.54296875" bestFit="1" customWidth="1"/>
    <col min="26" max="26" width="10.453125" bestFit="1" customWidth="1"/>
  </cols>
  <sheetData>
    <row r="1" spans="1:30" x14ac:dyDescent="0.35">
      <c r="A1" s="102" t="s">
        <v>114</v>
      </c>
      <c r="B1" s="102"/>
      <c r="C1" s="102"/>
    </row>
    <row r="3" spans="1:30" x14ac:dyDescent="0.35">
      <c r="A3" s="110" t="s">
        <v>97</v>
      </c>
      <c r="B3" s="110"/>
      <c r="C3" s="110"/>
      <c r="D3" s="110"/>
      <c r="E3" s="110"/>
      <c r="F3" s="110"/>
      <c r="G3" s="110"/>
      <c r="H3" s="110"/>
      <c r="I3" s="110"/>
      <c r="J3" s="110"/>
      <c r="K3" s="65"/>
      <c r="L3" s="65"/>
      <c r="M3" s="65"/>
      <c r="N3" s="65" t="s">
        <v>115</v>
      </c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30" ht="37" customHeight="1" x14ac:dyDescent="0.35">
      <c r="A4" s="113" t="s">
        <v>116</v>
      </c>
      <c r="B4" s="113"/>
      <c r="C4" s="113"/>
      <c r="D4" s="113"/>
      <c r="E4" s="113"/>
      <c r="F4" s="113"/>
      <c r="G4" s="113"/>
      <c r="H4" s="6"/>
      <c r="I4" s="6"/>
      <c r="J4" s="6"/>
      <c r="K4" s="6"/>
      <c r="L4" s="6"/>
      <c r="M4" s="6"/>
      <c r="N4" s="6"/>
      <c r="O4" s="6"/>
      <c r="P4" s="6"/>
      <c r="Q4" s="96" t="s">
        <v>35</v>
      </c>
      <c r="R4" s="96"/>
      <c r="S4" s="96"/>
      <c r="T4" s="96"/>
      <c r="U4" s="96"/>
      <c r="V4" s="96"/>
      <c r="W4" s="96"/>
      <c r="X4" s="96"/>
      <c r="Y4" s="96"/>
      <c r="Z4" s="6"/>
      <c r="AA4" s="6"/>
      <c r="AB4" s="6"/>
      <c r="AC4" s="6"/>
      <c r="AD4" s="6"/>
    </row>
    <row r="5" spans="1:30" x14ac:dyDescent="0.35">
      <c r="A5" s="96" t="s">
        <v>35</v>
      </c>
      <c r="B5" s="96"/>
      <c r="C5" s="96"/>
      <c r="D5" s="96"/>
      <c r="E5" s="96"/>
      <c r="F5" s="6"/>
      <c r="G5" s="6"/>
      <c r="H5" s="6"/>
      <c r="I5" s="6"/>
      <c r="J5" s="6"/>
      <c r="K5" s="6"/>
      <c r="L5" s="6"/>
      <c r="M5" s="6"/>
      <c r="N5" s="52" t="s">
        <v>67</v>
      </c>
      <c r="O5" s="52"/>
      <c r="P5" s="52"/>
      <c r="Q5" s="6"/>
      <c r="R5" s="2" t="s">
        <v>68</v>
      </c>
      <c r="S5" s="2"/>
      <c r="T5" s="2"/>
      <c r="U5" s="2"/>
      <c r="V5" s="6"/>
      <c r="W5" s="52" t="s">
        <v>69</v>
      </c>
      <c r="X5" s="52"/>
      <c r="Y5" s="52"/>
      <c r="Z5" s="52"/>
      <c r="AA5" s="6"/>
      <c r="AB5" s="6"/>
      <c r="AC5" s="6"/>
    </row>
    <row r="6" spans="1:30" ht="15" customHeight="1" x14ac:dyDescent="0.35">
      <c r="A6" s="10" t="s">
        <v>13</v>
      </c>
      <c r="B6" s="10" t="s">
        <v>10</v>
      </c>
      <c r="C6" s="6"/>
      <c r="D6" s="10" t="s">
        <v>13</v>
      </c>
      <c r="E6" s="10" t="s">
        <v>11</v>
      </c>
      <c r="F6" s="6"/>
      <c r="G6" s="6"/>
      <c r="H6" s="6"/>
      <c r="I6" s="6"/>
      <c r="J6" s="6"/>
      <c r="K6" s="6"/>
      <c r="L6" s="6"/>
      <c r="M6" s="6"/>
      <c r="N6" s="10" t="s">
        <v>70</v>
      </c>
      <c r="O6" s="10" t="s">
        <v>71</v>
      </c>
      <c r="P6" s="10" t="s">
        <v>72</v>
      </c>
      <c r="Q6" s="6"/>
      <c r="R6" s="36" t="s">
        <v>73</v>
      </c>
      <c r="S6" s="36" t="s">
        <v>9</v>
      </c>
      <c r="T6" s="36" t="s">
        <v>70</v>
      </c>
      <c r="U6" s="36" t="s">
        <v>74</v>
      </c>
      <c r="V6" s="6"/>
      <c r="W6" s="10" t="s">
        <v>75</v>
      </c>
      <c r="X6" s="10" t="s">
        <v>76</v>
      </c>
      <c r="Y6" s="10" t="s">
        <v>57</v>
      </c>
      <c r="Z6" s="10" t="s">
        <v>58</v>
      </c>
      <c r="AA6" s="6"/>
      <c r="AB6" s="6"/>
      <c r="AC6" s="6"/>
    </row>
    <row r="7" spans="1:30" x14ac:dyDescent="0.35">
      <c r="A7" s="13" t="s">
        <v>117</v>
      </c>
      <c r="B7" s="14">
        <v>0</v>
      </c>
      <c r="C7" s="6"/>
      <c r="D7" s="13" t="s">
        <v>117</v>
      </c>
      <c r="E7" s="14">
        <v>0</v>
      </c>
      <c r="F7" s="6"/>
      <c r="G7" s="6"/>
      <c r="H7" s="6"/>
      <c r="I7" s="6"/>
      <c r="J7" s="6"/>
      <c r="K7" s="6"/>
      <c r="L7" s="6"/>
      <c r="M7" s="6"/>
      <c r="N7" s="20" t="s">
        <v>118</v>
      </c>
      <c r="O7" s="37">
        <f>COUNTIF(T7:T14,N7)</f>
        <v>2</v>
      </c>
      <c r="P7" s="38">
        <f>AVERAGE(U7:U8)</f>
        <v>0.57669999999999999</v>
      </c>
      <c r="Q7" s="6"/>
      <c r="R7" s="39">
        <v>10404</v>
      </c>
      <c r="S7" s="40">
        <v>46268</v>
      </c>
      <c r="T7" s="41" t="s">
        <v>118</v>
      </c>
      <c r="U7" s="42">
        <v>0.71430000000000005</v>
      </c>
      <c r="V7" s="6"/>
      <c r="W7" s="39">
        <v>10404</v>
      </c>
      <c r="X7" s="14">
        <v>49231</v>
      </c>
      <c r="Y7" s="14">
        <v>9993</v>
      </c>
      <c r="Z7" s="14">
        <v>412</v>
      </c>
      <c r="AA7" s="6"/>
      <c r="AB7" s="6"/>
      <c r="AC7" s="6"/>
    </row>
    <row r="8" spans="1:30" x14ac:dyDescent="0.35">
      <c r="A8" s="20" t="s">
        <v>119</v>
      </c>
      <c r="B8" s="14">
        <v>6</v>
      </c>
      <c r="C8" s="6"/>
      <c r="D8" s="20" t="s">
        <v>119</v>
      </c>
      <c r="E8" s="14">
        <v>4</v>
      </c>
      <c r="F8" s="6"/>
      <c r="G8" s="6"/>
      <c r="H8" s="6"/>
      <c r="I8" s="6"/>
      <c r="J8" s="6"/>
      <c r="K8" s="6"/>
      <c r="L8" s="6"/>
      <c r="M8" s="6"/>
      <c r="N8" s="20" t="s">
        <v>120</v>
      </c>
      <c r="O8" s="37">
        <f>COUNTIF(T7:T14,N8)</f>
        <v>0</v>
      </c>
      <c r="P8" s="38"/>
      <c r="Q8" s="6"/>
      <c r="R8" s="39">
        <v>10409</v>
      </c>
      <c r="S8" s="40">
        <v>46269</v>
      </c>
      <c r="T8" s="41" t="s">
        <v>118</v>
      </c>
      <c r="U8" s="42">
        <v>0.43909999999999999</v>
      </c>
      <c r="V8" s="6"/>
      <c r="W8" s="39">
        <v>10409</v>
      </c>
      <c r="X8" s="14">
        <v>55269</v>
      </c>
      <c r="Y8" s="14">
        <v>8273</v>
      </c>
      <c r="Z8" s="14">
        <v>252</v>
      </c>
      <c r="AA8" s="6"/>
      <c r="AB8" s="6"/>
      <c r="AC8" s="6"/>
    </row>
    <row r="9" spans="1:30" x14ac:dyDescent="0.35">
      <c r="A9" s="20" t="s">
        <v>121</v>
      </c>
      <c r="B9" s="14">
        <v>5</v>
      </c>
      <c r="C9" s="6"/>
      <c r="D9" s="20" t="s">
        <v>121</v>
      </c>
      <c r="E9" s="14">
        <v>4</v>
      </c>
      <c r="F9" s="6"/>
      <c r="G9" s="6"/>
      <c r="H9" s="6"/>
      <c r="I9" s="6"/>
      <c r="J9" s="6"/>
      <c r="K9" s="6"/>
      <c r="L9" s="6"/>
      <c r="M9" s="6"/>
      <c r="N9" s="22" t="s">
        <v>36</v>
      </c>
      <c r="O9" s="23">
        <f>SUM(O7:O8)</f>
        <v>2</v>
      </c>
      <c r="P9" s="44" t="e">
        <f ca="1">AVERAGE(P7:P9)</f>
        <v>#DIV/0!</v>
      </c>
      <c r="Q9" s="6"/>
      <c r="R9" s="39"/>
      <c r="S9" s="40"/>
      <c r="T9" s="41"/>
      <c r="U9" s="42"/>
      <c r="V9" s="6"/>
      <c r="W9" s="39"/>
      <c r="X9" s="14"/>
      <c r="Y9" s="14"/>
      <c r="Z9" s="14"/>
      <c r="AA9" s="6"/>
      <c r="AB9" s="6"/>
      <c r="AC9" s="6"/>
    </row>
    <row r="10" spans="1:30" x14ac:dyDescent="0.35">
      <c r="A10" s="20" t="s">
        <v>122</v>
      </c>
      <c r="B10" s="14">
        <v>1</v>
      </c>
      <c r="C10" s="6"/>
      <c r="D10" s="20" t="s">
        <v>122</v>
      </c>
      <c r="E10" s="14">
        <v>1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7"/>
      <c r="S10" s="68"/>
      <c r="T10" s="69"/>
      <c r="U10" s="70"/>
      <c r="V10" s="6"/>
      <c r="W10" s="39"/>
      <c r="X10" s="14"/>
      <c r="Y10" s="14"/>
      <c r="Z10" s="14"/>
      <c r="AA10" s="6"/>
      <c r="AB10" s="6"/>
      <c r="AC10" s="6"/>
    </row>
    <row r="11" spans="1:30" x14ac:dyDescent="0.35">
      <c r="A11" s="28" t="s">
        <v>123</v>
      </c>
      <c r="B11" s="14">
        <v>8</v>
      </c>
      <c r="C11" s="6"/>
      <c r="D11" s="28" t="s">
        <v>123</v>
      </c>
      <c r="E11" s="14">
        <v>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7"/>
      <c r="S11" s="68"/>
      <c r="T11" s="69"/>
      <c r="U11" s="70"/>
      <c r="V11" s="6"/>
      <c r="W11" s="39"/>
      <c r="X11" s="14"/>
      <c r="Y11" s="14"/>
      <c r="Z11" s="14"/>
      <c r="AA11" s="6"/>
      <c r="AB11" s="6"/>
      <c r="AC11" s="6"/>
    </row>
    <row r="12" spans="1:30" x14ac:dyDescent="0.35">
      <c r="A12" s="13" t="s">
        <v>124</v>
      </c>
      <c r="B12" s="14">
        <v>2</v>
      </c>
      <c r="C12" s="6"/>
      <c r="D12" s="13" t="s">
        <v>124</v>
      </c>
      <c r="E12" s="14">
        <v>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39"/>
      <c r="S12" s="40"/>
      <c r="T12" s="41"/>
      <c r="U12" s="42"/>
      <c r="V12" s="6"/>
      <c r="W12" s="39"/>
      <c r="X12" s="14"/>
      <c r="Y12" s="14"/>
      <c r="Z12" s="14"/>
      <c r="AA12" s="6"/>
      <c r="AB12" s="6"/>
      <c r="AC12" s="6"/>
    </row>
    <row r="13" spans="1:30" x14ac:dyDescent="0.35">
      <c r="A13" s="13" t="s">
        <v>125</v>
      </c>
      <c r="B13" s="14">
        <v>5</v>
      </c>
      <c r="C13" s="6"/>
      <c r="D13" s="13" t="s">
        <v>125</v>
      </c>
      <c r="E13" s="14">
        <v>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45"/>
      <c r="S13" s="46"/>
      <c r="T13" s="28"/>
      <c r="U13" s="47"/>
      <c r="V13" s="6"/>
      <c r="W13" s="39"/>
      <c r="X13" s="14"/>
      <c r="Y13" s="14"/>
      <c r="Z13" s="14"/>
      <c r="AA13" s="6"/>
      <c r="AB13" s="6"/>
      <c r="AC13" s="6"/>
    </row>
    <row r="14" spans="1:30" x14ac:dyDescent="0.35">
      <c r="A14" s="13" t="s">
        <v>126</v>
      </c>
      <c r="B14" s="14">
        <v>8</v>
      </c>
      <c r="C14" s="6"/>
      <c r="D14" s="13" t="s">
        <v>126</v>
      </c>
      <c r="E14" s="14">
        <v>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39"/>
      <c r="S14" s="40"/>
      <c r="T14" s="41"/>
      <c r="U14" s="42"/>
      <c r="V14" s="6"/>
      <c r="W14" s="39"/>
      <c r="X14" s="14"/>
      <c r="Y14" s="14"/>
      <c r="Z14" s="14"/>
      <c r="AA14" s="6"/>
      <c r="AB14" s="6"/>
      <c r="AC14" s="6"/>
    </row>
    <row r="15" spans="1:30" ht="13" customHeight="1" x14ac:dyDescent="0.35">
      <c r="A15" s="13" t="s">
        <v>127</v>
      </c>
      <c r="B15" s="14">
        <v>9</v>
      </c>
      <c r="C15" s="6"/>
      <c r="D15" s="13" t="s">
        <v>127</v>
      </c>
      <c r="E15" s="14">
        <v>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39"/>
      <c r="X15" s="14"/>
      <c r="Y15" s="14"/>
      <c r="Z15" s="14"/>
      <c r="AA15" s="6"/>
      <c r="AB15" s="6"/>
      <c r="AC15" s="6"/>
    </row>
    <row r="16" spans="1:30" x14ac:dyDescent="0.35">
      <c r="A16" s="13" t="s">
        <v>128</v>
      </c>
      <c r="B16" s="14">
        <v>75</v>
      </c>
      <c r="C16" s="6"/>
      <c r="D16" s="13" t="s">
        <v>128</v>
      </c>
      <c r="E16" s="14">
        <v>67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49" t="s">
        <v>36</v>
      </c>
      <c r="X16" s="50">
        <f>SUM(X7:X15)</f>
        <v>104500</v>
      </c>
      <c r="Y16" s="50">
        <f>SUM(Y7:Y15)</f>
        <v>18266</v>
      </c>
      <c r="Z16" s="50">
        <f>SUM(Z7:Z15)</f>
        <v>664</v>
      </c>
      <c r="AA16" s="6"/>
      <c r="AB16" s="6"/>
      <c r="AC16" s="6"/>
    </row>
    <row r="17" spans="1:30" x14ac:dyDescent="0.35">
      <c r="A17" s="13" t="s">
        <v>29</v>
      </c>
      <c r="B17" s="21">
        <v>86</v>
      </c>
      <c r="C17" s="6"/>
      <c r="D17" s="13" t="s">
        <v>29</v>
      </c>
      <c r="E17" s="14">
        <v>91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30" x14ac:dyDescent="0.35">
      <c r="A18" s="13" t="s">
        <v>129</v>
      </c>
      <c r="B18" s="14">
        <v>5</v>
      </c>
      <c r="C18" s="6"/>
      <c r="D18" s="13" t="s">
        <v>129</v>
      </c>
      <c r="E18" s="14">
        <v>4</v>
      </c>
      <c r="F18" s="6"/>
      <c r="G18" s="1" t="s">
        <v>4</v>
      </c>
      <c r="H18" s="1"/>
      <c r="I18" s="6"/>
      <c r="J18" s="1" t="s">
        <v>4</v>
      </c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30" x14ac:dyDescent="0.35">
      <c r="A19" s="13" t="s">
        <v>130</v>
      </c>
      <c r="B19" s="14">
        <v>16</v>
      </c>
      <c r="C19" s="6"/>
      <c r="D19" s="13" t="s">
        <v>130</v>
      </c>
      <c r="E19" s="14">
        <v>14</v>
      </c>
      <c r="F19" s="6"/>
      <c r="G19" s="36" t="s">
        <v>13</v>
      </c>
      <c r="H19" s="36" t="s">
        <v>10</v>
      </c>
      <c r="I19" s="6"/>
      <c r="J19" s="36" t="s">
        <v>13</v>
      </c>
      <c r="K19" s="36" t="s">
        <v>11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30" x14ac:dyDescent="0.35">
      <c r="A20" s="13" t="s">
        <v>131</v>
      </c>
      <c r="B20" s="14">
        <v>90</v>
      </c>
      <c r="C20" s="6"/>
      <c r="D20" s="13" t="s">
        <v>131</v>
      </c>
      <c r="E20" s="14">
        <v>84</v>
      </c>
      <c r="F20" s="6"/>
      <c r="G20" s="13" t="s">
        <v>117</v>
      </c>
      <c r="H20" s="87" t="str">
        <f>IFERROR((B40-B7)/B7,"")</f>
        <v/>
      </c>
      <c r="I20" s="6"/>
      <c r="J20" s="13" t="s">
        <v>117</v>
      </c>
      <c r="K20" s="87" t="str">
        <f>IFERROR((E40-E7)/E7,"")</f>
        <v/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30" x14ac:dyDescent="0.35">
      <c r="A21" s="13" t="s">
        <v>132</v>
      </c>
      <c r="B21" s="14">
        <v>21</v>
      </c>
      <c r="C21" s="6"/>
      <c r="D21" s="13" t="s">
        <v>132</v>
      </c>
      <c r="E21" s="14">
        <v>21</v>
      </c>
      <c r="F21" s="6"/>
      <c r="G21" s="20" t="s">
        <v>119</v>
      </c>
      <c r="H21" s="87">
        <f t="shared" ref="H21:H35" si="0">IFERROR((B41-B8)/B8,"")</f>
        <v>-0.16666666666666666</v>
      </c>
      <c r="I21" s="6"/>
      <c r="J21" s="20" t="s">
        <v>119</v>
      </c>
      <c r="K21" s="87">
        <f t="shared" ref="K21:K36" si="1">IFERROR((E41-E8)/E8,"")</f>
        <v>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30" x14ac:dyDescent="0.35">
      <c r="A22" s="13" t="s">
        <v>133</v>
      </c>
      <c r="B22" s="14">
        <v>14</v>
      </c>
      <c r="C22" s="6"/>
      <c r="D22" s="13" t="s">
        <v>133</v>
      </c>
      <c r="E22" s="14">
        <v>12</v>
      </c>
      <c r="F22" s="6"/>
      <c r="G22" s="20" t="s">
        <v>121</v>
      </c>
      <c r="H22" s="87">
        <f t="shared" si="0"/>
        <v>-0.8</v>
      </c>
      <c r="I22" s="6"/>
      <c r="J22" s="20" t="s">
        <v>121</v>
      </c>
      <c r="K22" s="87">
        <f t="shared" si="1"/>
        <v>-0.5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30" x14ac:dyDescent="0.35">
      <c r="B23" s="66">
        <f>SUMPRODUCT(B7:B22)</f>
        <v>351</v>
      </c>
      <c r="C23" s="6"/>
      <c r="E23" s="66">
        <f>SUMPRODUCT(E7:E22)</f>
        <v>326</v>
      </c>
      <c r="F23" s="6"/>
      <c r="G23" s="20" t="s">
        <v>122</v>
      </c>
      <c r="H23" s="87">
        <f t="shared" si="0"/>
        <v>-1</v>
      </c>
      <c r="I23" s="6"/>
      <c r="J23" s="20" t="s">
        <v>122</v>
      </c>
      <c r="K23" s="87">
        <f t="shared" si="1"/>
        <v>-1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30" x14ac:dyDescent="0.35">
      <c r="A24" s="6"/>
      <c r="B24" s="6"/>
      <c r="C24" s="6"/>
      <c r="D24" s="6"/>
      <c r="E24" s="6"/>
      <c r="F24" s="6"/>
      <c r="G24" s="28" t="s">
        <v>123</v>
      </c>
      <c r="H24" s="87">
        <f t="shared" si="0"/>
        <v>0.375</v>
      </c>
      <c r="J24" s="28" t="s">
        <v>123</v>
      </c>
      <c r="K24" s="87">
        <f t="shared" si="1"/>
        <v>0.5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35">
      <c r="A25" s="6"/>
      <c r="B25" s="6"/>
      <c r="C25" s="6"/>
      <c r="D25" s="6"/>
      <c r="E25" s="6"/>
      <c r="F25" s="6"/>
      <c r="G25" s="13" t="s">
        <v>124</v>
      </c>
      <c r="H25" s="87">
        <f t="shared" si="0"/>
        <v>-0.5</v>
      </c>
      <c r="I25" s="6"/>
      <c r="J25" s="13" t="s">
        <v>124</v>
      </c>
      <c r="K25" s="87">
        <f t="shared" si="1"/>
        <v>0</v>
      </c>
      <c r="L25" s="6"/>
      <c r="M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x14ac:dyDescent="0.35">
      <c r="A26" s="6"/>
      <c r="B26" s="6"/>
      <c r="C26" s="6"/>
      <c r="D26" s="6"/>
      <c r="E26" s="6"/>
      <c r="F26" s="6"/>
      <c r="G26" s="13" t="s">
        <v>125</v>
      </c>
      <c r="H26" s="87">
        <f t="shared" si="0"/>
        <v>-0.2</v>
      </c>
      <c r="I26" s="6"/>
      <c r="J26" s="13" t="s">
        <v>125</v>
      </c>
      <c r="K26" s="87">
        <f t="shared" si="1"/>
        <v>0</v>
      </c>
      <c r="L26" s="6"/>
      <c r="M26" s="6"/>
      <c r="N26" s="6"/>
      <c r="O26" s="6"/>
      <c r="P26" s="6"/>
      <c r="Q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x14ac:dyDescent="0.35">
      <c r="A27" s="6"/>
      <c r="B27" s="6"/>
      <c r="C27" s="6"/>
      <c r="D27" s="6"/>
      <c r="E27" s="6"/>
      <c r="F27" s="6"/>
      <c r="G27" s="13" t="s">
        <v>126</v>
      </c>
      <c r="H27" s="87">
        <f t="shared" si="0"/>
        <v>0.625</v>
      </c>
      <c r="I27" s="6"/>
      <c r="J27" s="13" t="s">
        <v>126</v>
      </c>
      <c r="K27" s="87">
        <f t="shared" si="1"/>
        <v>-0.2857142857142857</v>
      </c>
      <c r="L27" s="6"/>
      <c r="M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x14ac:dyDescent="0.35">
      <c r="A28" s="6"/>
      <c r="B28" s="6"/>
      <c r="C28" s="6"/>
      <c r="D28" s="6"/>
      <c r="E28" s="6"/>
      <c r="F28" s="6"/>
      <c r="G28" s="13" t="s">
        <v>127</v>
      </c>
      <c r="H28" s="87">
        <f t="shared" si="0"/>
        <v>0.1111111111111111</v>
      </c>
      <c r="I28" s="6"/>
      <c r="J28" s="13" t="s">
        <v>127</v>
      </c>
      <c r="K28" s="87">
        <f t="shared" si="1"/>
        <v>0.66666666666666663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Z28" s="6"/>
      <c r="AA28" s="6"/>
      <c r="AB28" s="6"/>
      <c r="AC28" s="6"/>
      <c r="AD28" s="6"/>
    </row>
    <row r="29" spans="1:30" x14ac:dyDescent="0.35">
      <c r="A29" s="6"/>
      <c r="B29" s="6"/>
      <c r="C29" s="6"/>
      <c r="D29" s="6"/>
      <c r="E29" s="6"/>
      <c r="F29" s="6"/>
      <c r="G29" s="13" t="s">
        <v>128</v>
      </c>
      <c r="H29" s="87">
        <f t="shared" si="0"/>
        <v>-0.30666666666666664</v>
      </c>
      <c r="I29" s="6"/>
      <c r="J29" s="13" t="s">
        <v>128</v>
      </c>
      <c r="K29" s="87">
        <f t="shared" si="1"/>
        <v>-0.17910447761194029</v>
      </c>
      <c r="L29" s="6"/>
      <c r="M29" s="6"/>
      <c r="N29" s="6"/>
      <c r="O29" s="6"/>
      <c r="P29" s="6"/>
      <c r="Q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x14ac:dyDescent="0.35">
      <c r="A30" s="6"/>
      <c r="B30" s="6"/>
      <c r="C30" s="6"/>
      <c r="D30" s="6"/>
      <c r="E30" s="6"/>
      <c r="F30" s="6"/>
      <c r="G30" s="13" t="s">
        <v>29</v>
      </c>
      <c r="H30" s="87">
        <f t="shared" si="0"/>
        <v>3.4883720930232558E-2</v>
      </c>
      <c r="I30" s="6"/>
      <c r="J30" s="13" t="s">
        <v>29</v>
      </c>
      <c r="K30" s="87">
        <f t="shared" si="1"/>
        <v>2.197802197802198E-2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x14ac:dyDescent="0.35">
      <c r="A31" s="6"/>
      <c r="B31" s="6"/>
      <c r="C31" s="6"/>
      <c r="D31" s="6"/>
      <c r="E31" s="6"/>
      <c r="F31" s="6"/>
      <c r="G31" s="13" t="s">
        <v>129</v>
      </c>
      <c r="H31" s="87">
        <f t="shared" si="0"/>
        <v>0.2</v>
      </c>
      <c r="I31" s="6"/>
      <c r="J31" s="13" t="s">
        <v>129</v>
      </c>
      <c r="K31" s="87">
        <f t="shared" si="1"/>
        <v>0.25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x14ac:dyDescent="0.35">
      <c r="A32" s="6"/>
      <c r="B32" s="6"/>
      <c r="C32" s="6"/>
      <c r="D32" s="6"/>
      <c r="E32" s="6"/>
      <c r="F32" s="6"/>
      <c r="G32" s="13" t="s">
        <v>130</v>
      </c>
      <c r="H32" s="87">
        <f t="shared" si="0"/>
        <v>0.6875</v>
      </c>
      <c r="I32" s="6"/>
      <c r="J32" s="13" t="s">
        <v>130</v>
      </c>
      <c r="K32" s="87">
        <f t="shared" si="1"/>
        <v>0.7857142857142857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x14ac:dyDescent="0.35">
      <c r="A33" s="6"/>
      <c r="B33" s="6"/>
      <c r="C33" s="6"/>
      <c r="D33" s="6"/>
      <c r="E33" s="6"/>
      <c r="F33" s="6"/>
      <c r="G33" s="13" t="s">
        <v>131</v>
      </c>
      <c r="H33" s="87">
        <f t="shared" si="0"/>
        <v>0.13333333333333333</v>
      </c>
      <c r="I33" s="6"/>
      <c r="J33" s="13" t="s">
        <v>131</v>
      </c>
      <c r="K33" s="87">
        <f t="shared" si="1"/>
        <v>1.1904761904761904E-2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x14ac:dyDescent="0.35">
      <c r="A34" s="6"/>
      <c r="B34" s="6"/>
      <c r="C34" s="6"/>
      <c r="D34" s="6"/>
      <c r="E34" s="6"/>
      <c r="F34" s="6"/>
      <c r="G34" s="13" t="s">
        <v>132</v>
      </c>
      <c r="H34" s="87">
        <f t="shared" si="0"/>
        <v>-0.42857142857142855</v>
      </c>
      <c r="I34" s="6"/>
      <c r="J34" s="13" t="s">
        <v>132</v>
      </c>
      <c r="K34" s="87">
        <f t="shared" si="1"/>
        <v>-0.47619047619047616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x14ac:dyDescent="0.35">
      <c r="A35" s="6"/>
      <c r="B35" s="6"/>
      <c r="C35" s="6"/>
      <c r="D35" s="6"/>
      <c r="E35" s="6"/>
      <c r="F35" s="6"/>
      <c r="G35" s="13" t="s">
        <v>133</v>
      </c>
      <c r="H35" s="87">
        <f t="shared" si="0"/>
        <v>0.7142857142857143</v>
      </c>
      <c r="I35" s="6"/>
      <c r="J35" s="13" t="s">
        <v>133</v>
      </c>
      <c r="K35" s="87">
        <f t="shared" si="1"/>
        <v>0.66666666666666663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x14ac:dyDescent="0.35">
      <c r="A36" s="6"/>
      <c r="B36" s="6"/>
      <c r="C36" s="6"/>
      <c r="D36" s="6"/>
      <c r="E36" s="6"/>
      <c r="F36" s="6"/>
      <c r="G36" s="77" t="s">
        <v>33</v>
      </c>
      <c r="H36" s="87">
        <f>IFERROR((B56-B23)/B23,"")</f>
        <v>1.7094017094017096E-2</v>
      </c>
      <c r="I36" s="6"/>
      <c r="J36" s="77" t="s">
        <v>33</v>
      </c>
      <c r="K36" s="87">
        <f t="shared" si="1"/>
        <v>9.202453987730062E-3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96" t="s">
        <v>86</v>
      </c>
      <c r="S37" s="96"/>
      <c r="T37" s="96"/>
      <c r="U37" s="96"/>
      <c r="V37" s="96"/>
      <c r="W37" s="96"/>
      <c r="X37" s="96"/>
      <c r="Y37" s="96"/>
      <c r="Z37" s="96"/>
      <c r="AA37" s="6"/>
      <c r="AB37" s="6"/>
      <c r="AC37" s="6"/>
    </row>
    <row r="38" spans="1:30" x14ac:dyDescent="0.35">
      <c r="A38" s="111" t="s">
        <v>106</v>
      </c>
      <c r="B38" s="111"/>
      <c r="C38" s="111"/>
      <c r="D38" s="111"/>
      <c r="E38" s="111"/>
      <c r="F38" s="6"/>
      <c r="G38" s="6"/>
      <c r="H38" s="6"/>
      <c r="I38" s="6"/>
      <c r="J38" s="6"/>
      <c r="K38" s="6"/>
      <c r="L38" s="6"/>
      <c r="M38" s="6"/>
      <c r="N38" s="52" t="s">
        <v>67</v>
      </c>
      <c r="O38" s="52"/>
      <c r="P38" s="52"/>
      <c r="Q38" s="6"/>
      <c r="R38" s="2" t="s">
        <v>68</v>
      </c>
      <c r="S38" s="2"/>
      <c r="T38" s="2"/>
      <c r="U38" s="2"/>
      <c r="V38" s="6"/>
      <c r="W38" s="52" t="s">
        <v>69</v>
      </c>
      <c r="X38" s="52"/>
      <c r="Y38" s="52"/>
      <c r="Z38" s="52"/>
      <c r="AA38" s="6"/>
      <c r="AB38" s="6"/>
      <c r="AC38" s="6"/>
    </row>
    <row r="39" spans="1:30" ht="17.5" customHeight="1" x14ac:dyDescent="0.35">
      <c r="A39" s="10" t="s">
        <v>13</v>
      </c>
      <c r="B39" s="10" t="s">
        <v>10</v>
      </c>
      <c r="C39" s="6"/>
      <c r="D39" s="10" t="s">
        <v>13</v>
      </c>
      <c r="E39" s="10" t="s">
        <v>11</v>
      </c>
      <c r="F39" s="6"/>
      <c r="G39" s="6"/>
      <c r="H39" s="6"/>
      <c r="I39" s="6"/>
      <c r="J39" s="6"/>
      <c r="K39" s="6"/>
      <c r="L39" s="6"/>
      <c r="M39" s="6"/>
      <c r="N39" s="10" t="s">
        <v>70</v>
      </c>
      <c r="O39" s="10" t="s">
        <v>71</v>
      </c>
      <c r="P39" s="10" t="s">
        <v>72</v>
      </c>
      <c r="Q39" s="6"/>
      <c r="R39" s="36" t="s">
        <v>73</v>
      </c>
      <c r="S39" s="36" t="s">
        <v>9</v>
      </c>
      <c r="T39" s="36" t="s">
        <v>70</v>
      </c>
      <c r="U39" s="36" t="s">
        <v>74</v>
      </c>
      <c r="V39" s="6"/>
      <c r="W39" s="10" t="s">
        <v>75</v>
      </c>
      <c r="X39" s="10" t="s">
        <v>76</v>
      </c>
      <c r="Y39" s="10" t="s">
        <v>57</v>
      </c>
      <c r="Z39" s="10" t="s">
        <v>58</v>
      </c>
      <c r="AA39" s="6"/>
      <c r="AB39" s="6"/>
      <c r="AC39" s="6"/>
    </row>
    <row r="40" spans="1:30" x14ac:dyDescent="0.35">
      <c r="A40" s="13" t="s">
        <v>117</v>
      </c>
      <c r="B40" s="14">
        <v>0</v>
      </c>
      <c r="C40" s="6"/>
      <c r="D40" s="13" t="s">
        <v>117</v>
      </c>
      <c r="E40" s="14">
        <v>0</v>
      </c>
      <c r="F40" s="6"/>
      <c r="G40" s="6"/>
      <c r="I40" s="6"/>
      <c r="J40" s="6"/>
      <c r="K40" s="6"/>
      <c r="L40" s="6"/>
      <c r="M40" s="6"/>
      <c r="N40" s="20" t="s">
        <v>118</v>
      </c>
      <c r="O40" s="37">
        <f>COUNTIF(T40:T50,N40)</f>
        <v>2</v>
      </c>
      <c r="P40" s="38">
        <f>AVERAGE(U41:U42)</f>
        <v>0.55349999999999999</v>
      </c>
      <c r="Q40" s="6"/>
      <c r="R40" s="39">
        <v>10416</v>
      </c>
      <c r="S40" s="40">
        <v>46274</v>
      </c>
      <c r="T40" s="41" t="s">
        <v>120</v>
      </c>
      <c r="U40" s="42">
        <v>0.71599999999999997</v>
      </c>
      <c r="V40" s="6"/>
      <c r="W40" s="39">
        <v>10416</v>
      </c>
      <c r="X40" s="21">
        <v>32180</v>
      </c>
      <c r="Y40" s="21">
        <v>4957</v>
      </c>
      <c r="Z40" s="21">
        <v>121</v>
      </c>
      <c r="AA40" s="6"/>
      <c r="AB40" s="6"/>
      <c r="AC40" s="6"/>
    </row>
    <row r="41" spans="1:30" x14ac:dyDescent="0.35">
      <c r="A41" s="20" t="s">
        <v>119</v>
      </c>
      <c r="B41" s="14">
        <v>5</v>
      </c>
      <c r="C41" s="6"/>
      <c r="D41" s="20" t="s">
        <v>119</v>
      </c>
      <c r="E41" s="14">
        <v>4</v>
      </c>
      <c r="F41" s="6"/>
      <c r="G41" s="6"/>
      <c r="H41" s="6"/>
      <c r="I41" s="6"/>
      <c r="J41" s="6"/>
      <c r="K41" s="6"/>
      <c r="L41" s="6"/>
      <c r="M41" s="6"/>
      <c r="N41" s="20" t="s">
        <v>120</v>
      </c>
      <c r="O41" s="37">
        <f>COUNTIF(T40:T50,N41)</f>
        <v>1</v>
      </c>
      <c r="P41" s="38">
        <f>U40</f>
        <v>0.71599999999999997</v>
      </c>
      <c r="Q41" s="6"/>
      <c r="R41" s="39">
        <v>10422</v>
      </c>
      <c r="S41" s="40">
        <v>46275</v>
      </c>
      <c r="T41" s="41" t="s">
        <v>118</v>
      </c>
      <c r="U41" s="42">
        <v>0.64770000000000005</v>
      </c>
      <c r="V41" s="6"/>
      <c r="W41" s="39">
        <v>10422</v>
      </c>
      <c r="X41" s="21">
        <v>47980</v>
      </c>
      <c r="Y41" s="21">
        <v>6810</v>
      </c>
      <c r="Z41" s="21">
        <v>241</v>
      </c>
      <c r="AA41" s="6"/>
      <c r="AB41" s="6"/>
      <c r="AC41" s="6"/>
    </row>
    <row r="42" spans="1:30" x14ac:dyDescent="0.35">
      <c r="A42" s="20" t="s">
        <v>121</v>
      </c>
      <c r="B42" s="14">
        <v>1</v>
      </c>
      <c r="C42" s="6"/>
      <c r="D42" s="20" t="s">
        <v>121</v>
      </c>
      <c r="E42" s="14">
        <v>2</v>
      </c>
      <c r="F42" s="6"/>
      <c r="G42" s="6"/>
      <c r="H42" s="6"/>
      <c r="J42" s="6"/>
      <c r="K42" s="6"/>
      <c r="L42" s="6"/>
      <c r="M42" s="6"/>
      <c r="N42" s="22" t="s">
        <v>36</v>
      </c>
      <c r="O42" s="23">
        <f>SUM(O40:O41)</f>
        <v>3</v>
      </c>
      <c r="P42" s="44" t="e">
        <f ca="1">AVERAGE(P40:P42)</f>
        <v>#DIV/0!</v>
      </c>
      <c r="Q42" s="6"/>
      <c r="R42" s="39">
        <v>10426</v>
      </c>
      <c r="S42" s="40">
        <v>46276</v>
      </c>
      <c r="T42" s="41" t="s">
        <v>118</v>
      </c>
      <c r="U42" s="42">
        <v>0.45929999999999999</v>
      </c>
      <c r="V42" s="6"/>
      <c r="W42" s="39">
        <v>10426</v>
      </c>
      <c r="X42" s="14">
        <v>40951</v>
      </c>
      <c r="Y42" s="14">
        <v>6723</v>
      </c>
      <c r="Z42" s="14">
        <v>113</v>
      </c>
      <c r="AA42" s="6"/>
      <c r="AB42" s="6"/>
      <c r="AC42" s="6"/>
    </row>
    <row r="43" spans="1:30" x14ac:dyDescent="0.35">
      <c r="A43" s="20" t="s">
        <v>122</v>
      </c>
      <c r="B43" s="14">
        <v>0</v>
      </c>
      <c r="C43" s="6"/>
      <c r="D43" s="20" t="s">
        <v>122</v>
      </c>
      <c r="E43" s="14">
        <v>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39"/>
      <c r="S43" s="40"/>
      <c r="T43" s="41"/>
      <c r="U43" s="42"/>
      <c r="V43" s="6"/>
      <c r="W43" s="39"/>
      <c r="X43" s="14"/>
      <c r="Y43" s="14"/>
      <c r="Z43" s="14"/>
      <c r="AA43" s="6"/>
      <c r="AB43" s="6"/>
      <c r="AC43" s="6"/>
    </row>
    <row r="44" spans="1:30" x14ac:dyDescent="0.35">
      <c r="A44" s="28" t="s">
        <v>123</v>
      </c>
      <c r="B44" s="14">
        <v>11</v>
      </c>
      <c r="C44" s="6"/>
      <c r="D44" s="28" t="s">
        <v>123</v>
      </c>
      <c r="E44" s="14">
        <v>9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39"/>
      <c r="S44" s="40"/>
      <c r="T44" s="41"/>
      <c r="U44" s="42"/>
      <c r="V44" s="6"/>
      <c r="W44" s="39"/>
      <c r="X44" s="14"/>
      <c r="Y44" s="14"/>
      <c r="Z44" s="14"/>
      <c r="AA44" s="6"/>
      <c r="AB44" s="6"/>
      <c r="AC44" s="6"/>
    </row>
    <row r="45" spans="1:30" x14ac:dyDescent="0.35">
      <c r="A45" s="13" t="s">
        <v>124</v>
      </c>
      <c r="B45" s="14">
        <v>1</v>
      </c>
      <c r="C45" s="6"/>
      <c r="D45" s="13" t="s">
        <v>124</v>
      </c>
      <c r="E45" s="14">
        <v>2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39"/>
      <c r="S45" s="40"/>
      <c r="T45" s="41"/>
      <c r="U45" s="42"/>
      <c r="V45" s="6"/>
      <c r="W45" s="39"/>
      <c r="X45" s="14"/>
      <c r="Y45" s="14"/>
      <c r="Z45" s="14"/>
      <c r="AA45" s="6"/>
      <c r="AB45" s="6"/>
      <c r="AC45" s="6"/>
    </row>
    <row r="46" spans="1:30" x14ac:dyDescent="0.35">
      <c r="A46" s="13" t="s">
        <v>125</v>
      </c>
      <c r="B46" s="14">
        <v>4</v>
      </c>
      <c r="C46" s="6"/>
      <c r="D46" s="13" t="s">
        <v>125</v>
      </c>
      <c r="E46" s="14">
        <v>3</v>
      </c>
      <c r="F46" s="6"/>
      <c r="G46" s="6"/>
      <c r="H46" s="6"/>
      <c r="I46" s="6"/>
      <c r="J46" s="6"/>
      <c r="K46" s="6"/>
      <c r="L46" s="6"/>
      <c r="M46" s="6"/>
      <c r="O46" s="6"/>
      <c r="P46" s="6"/>
      <c r="Q46" s="6"/>
      <c r="R46" s="39"/>
      <c r="S46" s="40"/>
      <c r="T46" s="41"/>
      <c r="U46" s="42"/>
      <c r="V46" s="6"/>
      <c r="W46" s="39"/>
      <c r="X46" s="14"/>
      <c r="Y46" s="14"/>
      <c r="Z46" s="14"/>
      <c r="AA46" s="6"/>
      <c r="AB46" s="6"/>
      <c r="AC46" s="6"/>
    </row>
    <row r="47" spans="1:30" x14ac:dyDescent="0.35">
      <c r="A47" s="13" t="s">
        <v>126</v>
      </c>
      <c r="B47" s="14">
        <v>13</v>
      </c>
      <c r="C47" s="6"/>
      <c r="D47" s="13" t="s">
        <v>126</v>
      </c>
      <c r="E47" s="14">
        <v>5</v>
      </c>
      <c r="F47" s="6"/>
      <c r="G47" s="1" t="s">
        <v>4</v>
      </c>
      <c r="H47" s="1"/>
      <c r="I47" s="6"/>
      <c r="J47" s="1" t="s">
        <v>4</v>
      </c>
      <c r="K47" s="1"/>
      <c r="L47" s="6"/>
      <c r="M47" s="6"/>
      <c r="N47" s="6"/>
      <c r="O47" s="6"/>
      <c r="P47" s="6"/>
      <c r="Q47" s="6"/>
      <c r="R47" s="39"/>
      <c r="S47" s="40"/>
      <c r="T47" s="28"/>
      <c r="U47" s="42"/>
      <c r="V47" s="6"/>
      <c r="W47" s="39"/>
      <c r="X47" s="14"/>
      <c r="Y47" s="14"/>
      <c r="Z47" s="14"/>
      <c r="AA47" s="6"/>
      <c r="AB47" s="6"/>
      <c r="AC47" s="6"/>
    </row>
    <row r="48" spans="1:30" ht="17.5" customHeight="1" x14ac:dyDescent="0.35">
      <c r="A48" s="13" t="s">
        <v>127</v>
      </c>
      <c r="B48" s="14">
        <v>10</v>
      </c>
      <c r="C48" s="6"/>
      <c r="D48" s="13" t="s">
        <v>127</v>
      </c>
      <c r="E48" s="14">
        <v>10</v>
      </c>
      <c r="F48" s="6"/>
      <c r="G48" s="36" t="s">
        <v>13</v>
      </c>
      <c r="H48" s="36" t="s">
        <v>10</v>
      </c>
      <c r="I48" s="6"/>
      <c r="J48" s="36" t="s">
        <v>13</v>
      </c>
      <c r="K48" s="36" t="s">
        <v>11</v>
      </c>
      <c r="L48" s="6"/>
      <c r="M48" s="6"/>
      <c r="N48" s="6"/>
      <c r="O48" s="6"/>
      <c r="P48" s="6"/>
      <c r="Q48" s="6"/>
      <c r="R48" s="39"/>
      <c r="S48" s="40"/>
      <c r="T48" s="41"/>
      <c r="U48" s="42"/>
      <c r="V48" s="6"/>
      <c r="W48" s="39"/>
      <c r="X48" s="14"/>
      <c r="Y48" s="14"/>
      <c r="Z48" s="14"/>
      <c r="AA48" s="6"/>
      <c r="AB48" s="6"/>
      <c r="AC48" s="6"/>
    </row>
    <row r="49" spans="1:29" x14ac:dyDescent="0.35">
      <c r="A49" s="13" t="s">
        <v>128</v>
      </c>
      <c r="B49" s="14">
        <v>52</v>
      </c>
      <c r="C49" s="6"/>
      <c r="D49" s="13" t="s">
        <v>128</v>
      </c>
      <c r="E49" s="14">
        <v>55</v>
      </c>
      <c r="F49" s="6"/>
      <c r="G49" s="13" t="s">
        <v>117</v>
      </c>
      <c r="H49" s="14"/>
      <c r="I49" s="6"/>
      <c r="J49" s="13" t="s">
        <v>117</v>
      </c>
      <c r="K49" s="14"/>
      <c r="L49" s="6"/>
      <c r="M49" s="6"/>
      <c r="N49" s="6"/>
      <c r="O49" s="6"/>
      <c r="P49" s="6"/>
      <c r="Q49" s="6"/>
      <c r="R49" s="39"/>
      <c r="S49" s="40"/>
      <c r="T49" s="41"/>
      <c r="U49" s="42"/>
      <c r="V49" s="6"/>
      <c r="W49" s="39"/>
      <c r="X49" s="14"/>
      <c r="Y49" s="14"/>
      <c r="Z49" s="14"/>
      <c r="AA49" s="6"/>
      <c r="AB49" s="6"/>
      <c r="AC49" s="6"/>
    </row>
    <row r="50" spans="1:29" x14ac:dyDescent="0.35">
      <c r="A50" s="13" t="s">
        <v>29</v>
      </c>
      <c r="B50" s="14">
        <v>89</v>
      </c>
      <c r="C50" s="6"/>
      <c r="D50" s="13" t="s">
        <v>29</v>
      </c>
      <c r="E50" s="14">
        <v>93</v>
      </c>
      <c r="F50" s="6"/>
      <c r="G50" s="20" t="s">
        <v>119</v>
      </c>
      <c r="H50" s="14"/>
      <c r="I50" s="6"/>
      <c r="J50" s="20" t="s">
        <v>119</v>
      </c>
      <c r="K50" s="14"/>
      <c r="L50" s="6"/>
      <c r="M50" s="6"/>
      <c r="N50" s="6"/>
      <c r="O50" s="6"/>
      <c r="P50" s="6"/>
      <c r="Q50" s="6"/>
      <c r="R50" s="39"/>
      <c r="S50" s="40"/>
      <c r="T50" s="41"/>
      <c r="U50" s="42"/>
      <c r="V50" s="6"/>
      <c r="W50" s="39"/>
      <c r="X50" s="14"/>
      <c r="Y50" s="14"/>
      <c r="Z50" s="14"/>
      <c r="AA50" s="6"/>
      <c r="AB50" s="6"/>
      <c r="AC50" s="6"/>
    </row>
    <row r="51" spans="1:29" x14ac:dyDescent="0.35">
      <c r="A51" s="13" t="s">
        <v>129</v>
      </c>
      <c r="B51" s="14">
        <v>6</v>
      </c>
      <c r="C51" s="6"/>
      <c r="D51" s="13" t="s">
        <v>129</v>
      </c>
      <c r="E51" s="14">
        <v>5</v>
      </c>
      <c r="F51" s="6"/>
      <c r="G51" s="20" t="s">
        <v>121</v>
      </c>
      <c r="H51" s="14"/>
      <c r="I51" s="6"/>
      <c r="J51" s="20" t="s">
        <v>121</v>
      </c>
      <c r="K51" s="14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49" t="s">
        <v>36</v>
      </c>
      <c r="X51" s="50">
        <f>SUM(X41:X50)</f>
        <v>88931</v>
      </c>
      <c r="Y51" s="50">
        <f>SUM(Y41:Y50)</f>
        <v>13533</v>
      </c>
      <c r="Z51" s="50">
        <f>SUM(Z41:Z50)</f>
        <v>354</v>
      </c>
      <c r="AA51" s="6"/>
      <c r="AB51" s="6"/>
      <c r="AC51" s="6"/>
    </row>
    <row r="52" spans="1:29" x14ac:dyDescent="0.35">
      <c r="A52" s="13" t="s">
        <v>130</v>
      </c>
      <c r="B52" s="14">
        <v>27</v>
      </c>
      <c r="C52" s="6"/>
      <c r="D52" s="13" t="s">
        <v>130</v>
      </c>
      <c r="E52" s="14">
        <v>25</v>
      </c>
      <c r="F52" s="6"/>
      <c r="G52" s="20" t="s">
        <v>122</v>
      </c>
      <c r="H52" s="14"/>
      <c r="I52" s="6"/>
      <c r="J52" s="20" t="s">
        <v>122</v>
      </c>
      <c r="K52" s="14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x14ac:dyDescent="0.35">
      <c r="A53" s="13" t="s">
        <v>131</v>
      </c>
      <c r="B53" s="14">
        <v>102</v>
      </c>
      <c r="C53" s="6"/>
      <c r="D53" s="13" t="s">
        <v>131</v>
      </c>
      <c r="E53" s="14">
        <v>85</v>
      </c>
      <c r="F53" s="6"/>
      <c r="G53" s="28" t="s">
        <v>123</v>
      </c>
      <c r="H53" s="14"/>
      <c r="J53" s="28" t="s">
        <v>123</v>
      </c>
      <c r="K53" s="14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x14ac:dyDescent="0.35">
      <c r="A54" s="13" t="s">
        <v>132</v>
      </c>
      <c r="B54" s="14">
        <v>12</v>
      </c>
      <c r="C54" s="6"/>
      <c r="D54" s="13" t="s">
        <v>132</v>
      </c>
      <c r="E54" s="14">
        <v>11</v>
      </c>
      <c r="F54" s="6"/>
      <c r="G54" s="13" t="s">
        <v>124</v>
      </c>
      <c r="H54" s="14"/>
      <c r="I54" s="6"/>
      <c r="J54" s="13" t="s">
        <v>124</v>
      </c>
      <c r="K54" s="14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x14ac:dyDescent="0.35">
      <c r="A55" s="13" t="s">
        <v>133</v>
      </c>
      <c r="B55" s="14">
        <v>24</v>
      </c>
      <c r="C55" s="6"/>
      <c r="D55" s="13" t="s">
        <v>133</v>
      </c>
      <c r="E55" s="14">
        <v>20</v>
      </c>
      <c r="F55" s="6"/>
      <c r="G55" s="13" t="s">
        <v>125</v>
      </c>
      <c r="H55" s="14"/>
      <c r="I55" s="6"/>
      <c r="J55" s="13" t="s">
        <v>125</v>
      </c>
      <c r="K55" s="14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x14ac:dyDescent="0.35">
      <c r="B56" s="66">
        <f>SUMPRODUCT(B40:B55)</f>
        <v>357</v>
      </c>
      <c r="C56" s="6"/>
      <c r="E56" s="66">
        <f>SUMPRODUCT(E40:E55)</f>
        <v>329</v>
      </c>
      <c r="F56" s="6"/>
      <c r="G56" s="13" t="s">
        <v>126</v>
      </c>
      <c r="H56" s="14"/>
      <c r="I56" s="6"/>
      <c r="J56" s="13" t="s">
        <v>126</v>
      </c>
      <c r="K56" s="14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x14ac:dyDescent="0.35">
      <c r="A57" s="6"/>
      <c r="B57" s="6"/>
      <c r="C57" s="6"/>
      <c r="D57" s="6"/>
      <c r="E57" s="6"/>
      <c r="F57" s="6"/>
      <c r="G57" s="13" t="s">
        <v>127</v>
      </c>
      <c r="H57" s="14"/>
      <c r="I57" s="6"/>
      <c r="J57" s="13" t="s">
        <v>127</v>
      </c>
      <c r="K57" s="14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x14ac:dyDescent="0.35">
      <c r="A58" s="6"/>
      <c r="B58" s="6"/>
      <c r="C58" s="6"/>
      <c r="D58" s="6"/>
      <c r="E58" s="6"/>
      <c r="F58" s="6"/>
      <c r="G58" s="13" t="s">
        <v>128</v>
      </c>
      <c r="H58" s="14"/>
      <c r="I58" s="6"/>
      <c r="J58" s="13" t="s">
        <v>128</v>
      </c>
      <c r="K58" s="14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x14ac:dyDescent="0.35">
      <c r="A59" s="6"/>
      <c r="B59" s="6"/>
      <c r="C59" s="6"/>
      <c r="D59" s="6"/>
      <c r="E59" s="6"/>
      <c r="F59" s="6"/>
      <c r="G59" s="13" t="s">
        <v>29</v>
      </c>
      <c r="H59" s="14"/>
      <c r="I59" s="6"/>
      <c r="J59" s="13" t="s">
        <v>29</v>
      </c>
      <c r="K59" s="14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x14ac:dyDescent="0.35">
      <c r="A60" s="6"/>
      <c r="B60" s="6"/>
      <c r="C60" s="6"/>
      <c r="D60" s="6"/>
      <c r="E60" s="6"/>
      <c r="F60" s="6"/>
      <c r="G60" s="13" t="s">
        <v>129</v>
      </c>
      <c r="H60" s="14"/>
      <c r="I60" s="6"/>
      <c r="J60" s="13" t="s">
        <v>129</v>
      </c>
      <c r="K60" s="14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x14ac:dyDescent="0.35">
      <c r="A61" s="6"/>
      <c r="B61" s="6"/>
      <c r="C61" s="6"/>
      <c r="D61" s="6"/>
      <c r="E61" s="6"/>
      <c r="F61" s="6"/>
      <c r="G61" s="13" t="s">
        <v>130</v>
      </c>
      <c r="H61" s="14"/>
      <c r="I61" s="6"/>
      <c r="J61" s="13" t="s">
        <v>130</v>
      </c>
      <c r="K61" s="14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x14ac:dyDescent="0.35">
      <c r="A62" s="6"/>
      <c r="B62" s="6"/>
      <c r="C62" s="6"/>
      <c r="D62" s="6"/>
      <c r="E62" s="6"/>
      <c r="F62" s="6"/>
      <c r="G62" s="13" t="s">
        <v>131</v>
      </c>
      <c r="H62" s="14"/>
      <c r="I62" s="6"/>
      <c r="J62" s="13" t="s">
        <v>131</v>
      </c>
      <c r="K62" s="14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x14ac:dyDescent="0.35">
      <c r="A63" s="6"/>
      <c r="B63" s="6"/>
      <c r="C63" s="6"/>
      <c r="D63" s="6"/>
      <c r="E63" s="6"/>
      <c r="F63" s="6"/>
      <c r="G63" s="13" t="s">
        <v>132</v>
      </c>
      <c r="H63" s="14"/>
      <c r="I63" s="6"/>
      <c r="J63" s="13" t="s">
        <v>132</v>
      </c>
      <c r="K63" s="14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35">
      <c r="A64" s="6"/>
      <c r="B64" s="6"/>
      <c r="C64" s="6"/>
      <c r="D64" s="6"/>
      <c r="E64" s="6"/>
      <c r="F64" s="6"/>
      <c r="G64" s="13" t="s">
        <v>133</v>
      </c>
      <c r="H64" s="14"/>
      <c r="I64" s="6"/>
      <c r="J64" s="13" t="s">
        <v>133</v>
      </c>
      <c r="K64" s="14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35">
      <c r="A65" s="6"/>
      <c r="B65" s="6"/>
      <c r="C65" s="6"/>
      <c r="D65" s="6"/>
      <c r="E65" s="6"/>
      <c r="F65" s="6"/>
      <c r="G65" s="77" t="s">
        <v>33</v>
      </c>
      <c r="H65" s="78"/>
      <c r="I65" s="6"/>
      <c r="J65" s="77" t="s">
        <v>33</v>
      </c>
      <c r="K65" s="7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14.5" customHeigh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112" t="s">
        <v>88</v>
      </c>
      <c r="U68" s="111"/>
      <c r="V68" s="111"/>
      <c r="W68" s="111"/>
      <c r="X68" s="111"/>
      <c r="Y68" s="6"/>
      <c r="Z68" s="6"/>
      <c r="AA68" s="6"/>
      <c r="AB68" s="6"/>
      <c r="AC68" s="6"/>
    </row>
    <row r="69" spans="1:29" x14ac:dyDescent="0.35">
      <c r="A69" s="111" t="s">
        <v>88</v>
      </c>
      <c r="B69" s="111"/>
      <c r="C69" s="111"/>
      <c r="D69" s="111"/>
      <c r="E69" s="111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2" t="s">
        <v>68</v>
      </c>
      <c r="S69" s="2"/>
      <c r="T69" s="2"/>
      <c r="U69" s="2"/>
      <c r="V69" s="6"/>
      <c r="W69" s="52" t="s">
        <v>69</v>
      </c>
      <c r="X69" s="52"/>
      <c r="Y69" s="52"/>
      <c r="Z69" s="52"/>
      <c r="AA69" s="6"/>
      <c r="AB69" s="6"/>
      <c r="AC69" s="6"/>
    </row>
    <row r="70" spans="1:29" ht="16" customHeight="1" x14ac:dyDescent="0.35">
      <c r="A70" s="10" t="s">
        <v>13</v>
      </c>
      <c r="B70" s="10" t="s">
        <v>10</v>
      </c>
      <c r="C70" s="6"/>
      <c r="D70" s="10" t="s">
        <v>13</v>
      </c>
      <c r="E70" s="10" t="s">
        <v>11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36" t="s">
        <v>73</v>
      </c>
      <c r="S70" s="36" t="s">
        <v>9</v>
      </c>
      <c r="T70" s="36" t="s">
        <v>70</v>
      </c>
      <c r="U70" s="36" t="s">
        <v>74</v>
      </c>
      <c r="V70" s="6"/>
      <c r="W70" s="10" t="s">
        <v>75</v>
      </c>
      <c r="X70" s="10" t="s">
        <v>76</v>
      </c>
      <c r="Y70" s="10" t="s">
        <v>57</v>
      </c>
      <c r="Z70" s="10" t="s">
        <v>58</v>
      </c>
      <c r="AA70" s="6"/>
      <c r="AB70" s="6"/>
      <c r="AC70" s="6"/>
    </row>
    <row r="71" spans="1:29" x14ac:dyDescent="0.35">
      <c r="A71" s="13" t="s">
        <v>117</v>
      </c>
      <c r="B71" s="14"/>
      <c r="C71" s="6"/>
      <c r="D71" s="13" t="s">
        <v>117</v>
      </c>
      <c r="E71" s="14"/>
      <c r="F71" s="6"/>
      <c r="G71" s="6"/>
      <c r="H71" s="6"/>
      <c r="I71" s="6"/>
      <c r="J71" s="6"/>
      <c r="K71" s="6"/>
      <c r="L71" s="6"/>
      <c r="M71" s="6"/>
      <c r="N71" s="52" t="s">
        <v>67</v>
      </c>
      <c r="O71" s="52"/>
      <c r="P71" s="52"/>
      <c r="Q71" s="6"/>
      <c r="R71" s="39"/>
      <c r="S71" s="40"/>
      <c r="T71" s="41"/>
      <c r="U71" s="42"/>
      <c r="V71" s="6"/>
      <c r="W71" s="39"/>
      <c r="X71" s="21"/>
      <c r="Y71" s="21"/>
      <c r="Z71" s="21"/>
      <c r="AA71" s="6"/>
      <c r="AB71" s="6"/>
      <c r="AC71" s="6"/>
    </row>
    <row r="72" spans="1:29" ht="17.149999999999999" customHeight="1" x14ac:dyDescent="0.35">
      <c r="A72" s="20" t="s">
        <v>119</v>
      </c>
      <c r="B72" s="14"/>
      <c r="C72" s="6"/>
      <c r="D72" s="20" t="s">
        <v>119</v>
      </c>
      <c r="E72" s="14"/>
      <c r="F72" s="6"/>
      <c r="G72" s="6"/>
      <c r="H72" s="6"/>
      <c r="I72" s="6"/>
      <c r="J72" s="6"/>
      <c r="K72" s="6"/>
      <c r="L72" s="6"/>
      <c r="M72" s="6"/>
      <c r="N72" s="10" t="s">
        <v>70</v>
      </c>
      <c r="O72" s="10" t="s">
        <v>71</v>
      </c>
      <c r="P72" s="10" t="s">
        <v>72</v>
      </c>
      <c r="Q72" s="6"/>
      <c r="R72" s="39"/>
      <c r="S72" s="40"/>
      <c r="T72" s="41"/>
      <c r="U72" s="42"/>
      <c r="V72" s="6"/>
      <c r="W72" s="39"/>
      <c r="X72" s="14"/>
      <c r="Y72" s="14"/>
      <c r="Z72" s="14"/>
      <c r="AA72" s="6"/>
      <c r="AB72" s="6"/>
      <c r="AC72" s="6"/>
    </row>
    <row r="73" spans="1:29" x14ac:dyDescent="0.35">
      <c r="A73" s="20" t="s">
        <v>121</v>
      </c>
      <c r="B73" s="14"/>
      <c r="C73" s="6"/>
      <c r="D73" s="20" t="s">
        <v>121</v>
      </c>
      <c r="E73" s="14"/>
      <c r="F73" s="6"/>
      <c r="G73" s="6"/>
      <c r="H73" s="6"/>
      <c r="I73" s="6"/>
      <c r="J73" s="6"/>
      <c r="K73" s="6"/>
      <c r="L73" s="6"/>
      <c r="M73" s="6"/>
      <c r="N73" s="20" t="s">
        <v>118</v>
      </c>
      <c r="O73" s="37">
        <f>COUNTIF(T71:T81,N73)</f>
        <v>0</v>
      </c>
      <c r="P73" s="38"/>
      <c r="Q73" s="6"/>
      <c r="R73" s="39"/>
      <c r="S73" s="40"/>
      <c r="T73" s="41"/>
      <c r="U73" s="42"/>
      <c r="V73" s="6"/>
      <c r="W73" s="39"/>
      <c r="X73" s="14"/>
      <c r="Y73" s="14"/>
      <c r="Z73" s="14"/>
      <c r="AA73" s="6"/>
      <c r="AB73" s="6"/>
      <c r="AC73" s="6"/>
    </row>
    <row r="74" spans="1:29" x14ac:dyDescent="0.35">
      <c r="A74" s="20" t="s">
        <v>122</v>
      </c>
      <c r="B74" s="14"/>
      <c r="C74" s="6"/>
      <c r="D74" s="20" t="s">
        <v>122</v>
      </c>
      <c r="E74" s="14"/>
      <c r="F74" s="6"/>
      <c r="G74" s="6"/>
      <c r="H74" s="6"/>
      <c r="I74" s="6"/>
      <c r="J74" s="6"/>
      <c r="K74" s="6"/>
      <c r="L74" s="6"/>
      <c r="M74" s="6"/>
      <c r="N74" s="20" t="s">
        <v>120</v>
      </c>
      <c r="O74" s="37">
        <f>COUNTIF(T71:T81,N74)</f>
        <v>0</v>
      </c>
      <c r="P74" s="38"/>
      <c r="Q74" s="6"/>
      <c r="R74" s="39"/>
      <c r="S74" s="40"/>
      <c r="T74" s="41"/>
      <c r="U74" s="42"/>
      <c r="V74" s="6"/>
      <c r="W74" s="39"/>
      <c r="X74" s="14"/>
      <c r="Y74" s="14"/>
      <c r="Z74" s="14"/>
      <c r="AA74" s="6"/>
      <c r="AB74" s="6"/>
      <c r="AC74" s="6"/>
    </row>
    <row r="75" spans="1:29" x14ac:dyDescent="0.35">
      <c r="A75" s="28" t="s">
        <v>123</v>
      </c>
      <c r="B75" s="14"/>
      <c r="C75" s="6"/>
      <c r="D75" s="28" t="s">
        <v>123</v>
      </c>
      <c r="E75" s="14"/>
      <c r="F75" s="6"/>
      <c r="G75" s="6"/>
      <c r="H75" s="6"/>
      <c r="I75" s="6"/>
      <c r="J75" s="6"/>
      <c r="K75" s="6"/>
      <c r="L75" s="6"/>
      <c r="M75" s="6"/>
      <c r="N75" s="22" t="s">
        <v>36</v>
      </c>
      <c r="O75" s="23">
        <f>SUM(O73:O74)</f>
        <v>0</v>
      </c>
      <c r="P75" s="44" t="e">
        <f ca="1">AVERAGE(P73:P75)</f>
        <v>#DIV/0!</v>
      </c>
      <c r="Q75" s="6"/>
      <c r="R75" s="39"/>
      <c r="S75" s="40"/>
      <c r="T75" s="41"/>
      <c r="U75" s="42"/>
      <c r="V75" s="6"/>
      <c r="W75" s="39"/>
      <c r="X75" s="14"/>
      <c r="Y75" s="14"/>
      <c r="Z75" s="14"/>
      <c r="AA75" s="6"/>
      <c r="AB75" s="6"/>
      <c r="AC75" s="6"/>
    </row>
    <row r="76" spans="1:29" x14ac:dyDescent="0.35">
      <c r="A76" s="13" t="s">
        <v>124</v>
      </c>
      <c r="B76" s="14"/>
      <c r="C76" s="6"/>
      <c r="D76" s="13" t="s">
        <v>124</v>
      </c>
      <c r="E76" s="14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39"/>
      <c r="S76" s="40"/>
      <c r="T76" s="41"/>
      <c r="U76" s="42"/>
      <c r="V76" s="6"/>
      <c r="W76" s="39"/>
      <c r="X76" s="14"/>
      <c r="Y76" s="14"/>
      <c r="Z76" s="14"/>
      <c r="AA76" s="6"/>
      <c r="AB76" s="6"/>
      <c r="AC76" s="6"/>
    </row>
    <row r="77" spans="1:29" x14ac:dyDescent="0.35">
      <c r="A77" s="13" t="s">
        <v>125</v>
      </c>
      <c r="B77" s="14"/>
      <c r="C77" s="6"/>
      <c r="D77" s="13" t="s">
        <v>125</v>
      </c>
      <c r="E77" s="14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39"/>
      <c r="S77" s="40"/>
      <c r="T77" s="41"/>
      <c r="U77" s="42"/>
      <c r="V77" s="6"/>
      <c r="W77" s="39"/>
      <c r="X77" s="14"/>
      <c r="Y77" s="14"/>
      <c r="Z77" s="14"/>
      <c r="AA77" s="6"/>
      <c r="AB77" s="6"/>
      <c r="AC77" s="6"/>
    </row>
    <row r="78" spans="1:29" x14ac:dyDescent="0.35">
      <c r="A78" s="13" t="s">
        <v>126</v>
      </c>
      <c r="B78" s="14"/>
      <c r="C78" s="6"/>
      <c r="D78" s="13" t="s">
        <v>126</v>
      </c>
      <c r="E78" s="14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39"/>
      <c r="S78" s="40"/>
      <c r="T78" s="28"/>
      <c r="U78" s="42"/>
      <c r="V78" s="6"/>
      <c r="W78" s="39"/>
      <c r="X78" s="14"/>
      <c r="Y78" s="14"/>
      <c r="Z78" s="14"/>
      <c r="AA78" s="6"/>
      <c r="AB78" s="6"/>
      <c r="AC78" s="6"/>
    </row>
    <row r="79" spans="1:29" x14ac:dyDescent="0.35">
      <c r="A79" s="13" t="s">
        <v>127</v>
      </c>
      <c r="B79" s="14"/>
      <c r="C79" s="6"/>
      <c r="D79" s="13" t="s">
        <v>127</v>
      </c>
      <c r="E79" s="14"/>
      <c r="F79" s="6"/>
      <c r="G79" s="1" t="s">
        <v>4</v>
      </c>
      <c r="H79" s="1"/>
      <c r="I79" s="6"/>
      <c r="J79" s="1" t="s">
        <v>4</v>
      </c>
      <c r="K79" s="1"/>
      <c r="L79" s="6"/>
      <c r="M79" s="6"/>
      <c r="N79" s="6"/>
      <c r="O79" s="6"/>
      <c r="P79" s="6"/>
      <c r="Q79" s="6"/>
      <c r="R79" s="39"/>
      <c r="S79" s="40"/>
      <c r="T79" s="41"/>
      <c r="U79" s="42"/>
      <c r="V79" s="6"/>
      <c r="W79" s="39"/>
      <c r="X79" s="14"/>
      <c r="Y79" s="14"/>
      <c r="Z79" s="14"/>
      <c r="AA79" s="6"/>
      <c r="AB79" s="6"/>
      <c r="AC79" s="6"/>
    </row>
    <row r="80" spans="1:29" ht="17.149999999999999" customHeight="1" x14ac:dyDescent="0.35">
      <c r="A80" s="13" t="s">
        <v>128</v>
      </c>
      <c r="B80" s="14"/>
      <c r="C80" s="6"/>
      <c r="D80" s="13" t="s">
        <v>128</v>
      </c>
      <c r="E80" s="14"/>
      <c r="F80" s="6"/>
      <c r="G80" s="36" t="s">
        <v>13</v>
      </c>
      <c r="H80" s="36" t="s">
        <v>10</v>
      </c>
      <c r="I80" s="6"/>
      <c r="J80" s="36" t="s">
        <v>13</v>
      </c>
      <c r="K80" s="36" t="s">
        <v>11</v>
      </c>
      <c r="L80" s="6"/>
      <c r="M80" s="6"/>
      <c r="N80" s="6"/>
      <c r="O80" s="6"/>
      <c r="P80" s="6"/>
      <c r="Q80" s="6"/>
      <c r="R80" s="39"/>
      <c r="S80" s="40"/>
      <c r="T80" s="41"/>
      <c r="U80" s="42"/>
      <c r="V80" s="6"/>
      <c r="W80" s="39"/>
      <c r="X80" s="14"/>
      <c r="Y80" s="14"/>
      <c r="Z80" s="14"/>
      <c r="AA80" s="6"/>
      <c r="AB80" s="6"/>
      <c r="AC80" s="6"/>
    </row>
    <row r="81" spans="1:29" x14ac:dyDescent="0.35">
      <c r="A81" s="13" t="s">
        <v>29</v>
      </c>
      <c r="B81" s="14"/>
      <c r="C81" s="6"/>
      <c r="D81" s="13" t="s">
        <v>29</v>
      </c>
      <c r="E81" s="14"/>
      <c r="F81" s="6"/>
      <c r="G81" s="13" t="s">
        <v>117</v>
      </c>
      <c r="H81" s="14"/>
      <c r="I81" s="6"/>
      <c r="J81" s="13" t="s">
        <v>117</v>
      </c>
      <c r="K81" s="14"/>
      <c r="L81" s="6"/>
      <c r="M81" s="6"/>
      <c r="N81" s="6"/>
      <c r="O81" s="6"/>
      <c r="P81" s="6"/>
      <c r="Q81" s="6"/>
      <c r="R81" s="39"/>
      <c r="S81" s="40"/>
      <c r="T81" s="41"/>
      <c r="U81" s="42"/>
      <c r="V81" s="6"/>
      <c r="W81" s="39"/>
      <c r="X81" s="14"/>
      <c r="Y81" s="14"/>
      <c r="Z81" s="14"/>
      <c r="AA81" s="6"/>
      <c r="AB81" s="6"/>
      <c r="AC81" s="6"/>
    </row>
    <row r="82" spans="1:29" x14ac:dyDescent="0.35">
      <c r="A82" s="13" t="s">
        <v>129</v>
      </c>
      <c r="B82" s="14"/>
      <c r="C82" s="6"/>
      <c r="D82" s="13" t="s">
        <v>129</v>
      </c>
      <c r="E82" s="14"/>
      <c r="F82" s="6"/>
      <c r="G82" s="20" t="s">
        <v>119</v>
      </c>
      <c r="H82" s="14"/>
      <c r="I82" s="6"/>
      <c r="J82" s="20" t="s">
        <v>119</v>
      </c>
      <c r="K82" s="14"/>
      <c r="L82" s="6"/>
      <c r="M82" s="6"/>
      <c r="N82" s="6"/>
      <c r="P82" s="6"/>
      <c r="Q82" s="6"/>
      <c r="R82" s="6"/>
      <c r="S82" s="6"/>
      <c r="T82" s="6"/>
      <c r="U82" s="6"/>
      <c r="V82" s="6"/>
      <c r="W82" s="49" t="s">
        <v>36</v>
      </c>
      <c r="X82" s="50">
        <f>SUM(X71:X81)</f>
        <v>0</v>
      </c>
      <c r="Y82" s="50">
        <f>SUM(Y71:Y81)</f>
        <v>0</v>
      </c>
      <c r="Z82" s="50">
        <f>SUM(Z71:Z81)</f>
        <v>0</v>
      </c>
      <c r="AA82" s="6"/>
      <c r="AB82" s="6"/>
      <c r="AC82" s="6"/>
    </row>
    <row r="83" spans="1:29" x14ac:dyDescent="0.35">
      <c r="A83" s="13" t="s">
        <v>130</v>
      </c>
      <c r="B83" s="14"/>
      <c r="C83" s="6"/>
      <c r="D83" s="13" t="s">
        <v>130</v>
      </c>
      <c r="E83" s="14"/>
      <c r="F83" s="6"/>
      <c r="G83" s="20" t="s">
        <v>121</v>
      </c>
      <c r="H83" s="14"/>
      <c r="I83" s="6"/>
      <c r="J83" s="20" t="s">
        <v>121</v>
      </c>
      <c r="K83" s="14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x14ac:dyDescent="0.35">
      <c r="A84" s="13" t="s">
        <v>131</v>
      </c>
      <c r="B84" s="14"/>
      <c r="C84" s="6"/>
      <c r="D84" s="13" t="s">
        <v>131</v>
      </c>
      <c r="E84" s="14"/>
      <c r="F84" s="6"/>
      <c r="G84" s="20" t="s">
        <v>122</v>
      </c>
      <c r="H84" s="14"/>
      <c r="I84" s="6"/>
      <c r="J84" s="20" t="s">
        <v>122</v>
      </c>
      <c r="K84" s="14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x14ac:dyDescent="0.35">
      <c r="A85" s="13" t="s">
        <v>132</v>
      </c>
      <c r="B85" s="14"/>
      <c r="C85" s="6"/>
      <c r="D85" s="13" t="s">
        <v>132</v>
      </c>
      <c r="E85" s="14"/>
      <c r="F85" s="6"/>
      <c r="G85" s="28" t="s">
        <v>123</v>
      </c>
      <c r="H85" s="14"/>
      <c r="J85" s="28" t="s">
        <v>123</v>
      </c>
      <c r="K85" s="14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x14ac:dyDescent="0.35">
      <c r="A86" s="13" t="s">
        <v>133</v>
      </c>
      <c r="B86" s="14"/>
      <c r="C86" s="6"/>
      <c r="D86" s="13" t="s">
        <v>133</v>
      </c>
      <c r="E86" s="14"/>
      <c r="F86" s="6"/>
      <c r="G86" s="13" t="s">
        <v>124</v>
      </c>
      <c r="H86" s="14"/>
      <c r="I86" s="6"/>
      <c r="J86" s="13" t="s">
        <v>124</v>
      </c>
      <c r="K86" s="14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x14ac:dyDescent="0.35">
      <c r="B87" s="66">
        <f>SUMPRODUCT(B71:B86)</f>
        <v>0</v>
      </c>
      <c r="C87" s="6"/>
      <c r="E87" s="66">
        <f>SUMPRODUCT(E71:E86)</f>
        <v>0</v>
      </c>
      <c r="F87" s="6"/>
      <c r="G87" s="13" t="s">
        <v>125</v>
      </c>
      <c r="H87" s="14"/>
      <c r="I87" s="6"/>
      <c r="J87" s="13" t="s">
        <v>125</v>
      </c>
      <c r="K87" s="14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x14ac:dyDescent="0.35">
      <c r="A88" s="6"/>
      <c r="B88" s="6"/>
      <c r="C88" s="6"/>
      <c r="D88" s="6"/>
      <c r="E88" s="6"/>
      <c r="F88" s="6"/>
      <c r="G88" s="13" t="s">
        <v>126</v>
      </c>
      <c r="H88" s="14"/>
      <c r="I88" s="6"/>
      <c r="J88" s="13" t="s">
        <v>126</v>
      </c>
      <c r="K88" s="14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x14ac:dyDescent="0.35">
      <c r="A89" s="6"/>
      <c r="B89" s="6"/>
      <c r="C89" s="6"/>
      <c r="D89" s="6"/>
      <c r="E89" s="6"/>
      <c r="F89" s="6"/>
      <c r="G89" s="13" t="s">
        <v>127</v>
      </c>
      <c r="H89" s="14"/>
      <c r="I89" s="6"/>
      <c r="J89" s="13" t="s">
        <v>127</v>
      </c>
      <c r="K89" s="14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x14ac:dyDescent="0.35">
      <c r="A90" s="6"/>
      <c r="B90" s="6"/>
      <c r="C90" s="6"/>
      <c r="D90" s="6"/>
      <c r="E90" s="6"/>
      <c r="F90" s="6"/>
      <c r="G90" s="13" t="s">
        <v>128</v>
      </c>
      <c r="H90" s="14"/>
      <c r="I90" s="6"/>
      <c r="J90" s="13" t="s">
        <v>128</v>
      </c>
      <c r="K90" s="14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x14ac:dyDescent="0.35">
      <c r="A91" s="6"/>
      <c r="B91" s="6"/>
      <c r="C91" s="6"/>
      <c r="D91" s="6"/>
      <c r="E91" s="6"/>
      <c r="F91" s="6"/>
      <c r="G91" s="13" t="s">
        <v>29</v>
      </c>
      <c r="H91" s="14"/>
      <c r="I91" s="6"/>
      <c r="J91" s="13" t="s">
        <v>29</v>
      </c>
      <c r="K91" s="14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x14ac:dyDescent="0.35">
      <c r="A92" s="6"/>
      <c r="B92" s="6"/>
      <c r="C92" s="6"/>
      <c r="D92" s="6"/>
      <c r="E92" s="6"/>
      <c r="F92" s="6"/>
      <c r="G92" s="13" t="s">
        <v>129</v>
      </c>
      <c r="H92" s="14"/>
      <c r="I92" s="6"/>
      <c r="J92" s="13" t="s">
        <v>129</v>
      </c>
      <c r="K92" s="14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x14ac:dyDescent="0.35">
      <c r="A93" s="6"/>
      <c r="B93" s="6"/>
      <c r="C93" s="6"/>
      <c r="D93" s="6"/>
      <c r="E93" s="6"/>
      <c r="F93" s="6"/>
      <c r="G93" s="13" t="s">
        <v>130</v>
      </c>
      <c r="H93" s="14"/>
      <c r="I93" s="6"/>
      <c r="J93" s="13" t="s">
        <v>130</v>
      </c>
      <c r="K93" s="14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x14ac:dyDescent="0.35">
      <c r="A94" s="6"/>
      <c r="B94" s="6"/>
      <c r="C94" s="6"/>
      <c r="D94" s="6"/>
      <c r="E94" s="6"/>
      <c r="F94" s="6"/>
      <c r="G94" s="13" t="s">
        <v>131</v>
      </c>
      <c r="H94" s="14"/>
      <c r="I94" s="6"/>
      <c r="J94" s="13" t="s">
        <v>131</v>
      </c>
      <c r="K94" s="14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x14ac:dyDescent="0.35">
      <c r="A95" s="6"/>
      <c r="B95" s="6"/>
      <c r="C95" s="6"/>
      <c r="D95" s="6"/>
      <c r="E95" s="6"/>
      <c r="F95" s="6"/>
      <c r="G95" s="13" t="s">
        <v>132</v>
      </c>
      <c r="H95" s="14"/>
      <c r="I95" s="6"/>
      <c r="J95" s="13" t="s">
        <v>132</v>
      </c>
      <c r="K95" s="14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x14ac:dyDescent="0.35">
      <c r="A96" s="6"/>
      <c r="B96" s="6"/>
      <c r="C96" s="6"/>
      <c r="D96" s="6"/>
      <c r="E96" s="6"/>
      <c r="F96" s="6"/>
      <c r="G96" s="13" t="s">
        <v>133</v>
      </c>
      <c r="H96" s="14"/>
      <c r="I96" s="6"/>
      <c r="J96" s="13" t="s">
        <v>133</v>
      </c>
      <c r="K96" s="14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x14ac:dyDescent="0.35">
      <c r="A97" s="6"/>
      <c r="B97" s="6"/>
      <c r="C97" s="6"/>
      <c r="D97" s="6"/>
      <c r="E97" s="6"/>
      <c r="F97" s="6"/>
      <c r="G97" s="77" t="s">
        <v>33</v>
      </c>
      <c r="H97" s="78"/>
      <c r="I97" s="6"/>
      <c r="J97" s="77" t="s">
        <v>33</v>
      </c>
      <c r="K97" s="78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x14ac:dyDescent="0.35">
      <c r="A103" s="111" t="s">
        <v>91</v>
      </c>
      <c r="B103" s="111"/>
      <c r="C103" s="111"/>
      <c r="D103" s="111"/>
      <c r="E103" s="11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7.149999999999999" customHeight="1" x14ac:dyDescent="0.35">
      <c r="A104" s="10" t="s">
        <v>13</v>
      </c>
      <c r="B104" s="10" t="s">
        <v>10</v>
      </c>
      <c r="C104" s="6"/>
      <c r="D104" s="10" t="s">
        <v>13</v>
      </c>
      <c r="E104" s="10" t="s">
        <v>11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96" t="s">
        <v>91</v>
      </c>
      <c r="S104" s="96"/>
      <c r="T104" s="96"/>
      <c r="U104" s="96"/>
      <c r="V104" s="96"/>
      <c r="W104" s="96"/>
      <c r="X104" s="96"/>
      <c r="Y104" s="96"/>
      <c r="Z104" s="96"/>
      <c r="AA104" s="6"/>
      <c r="AB104" s="6"/>
      <c r="AC104" s="6"/>
    </row>
    <row r="105" spans="1:29" x14ac:dyDescent="0.35">
      <c r="A105" s="13" t="s">
        <v>117</v>
      </c>
      <c r="B105" s="14"/>
      <c r="C105" s="6"/>
      <c r="D105" s="13" t="s">
        <v>117</v>
      </c>
      <c r="E105" s="14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2" t="s">
        <v>68</v>
      </c>
      <c r="S105" s="2"/>
      <c r="T105" s="2"/>
      <c r="U105" s="2"/>
      <c r="V105" s="6"/>
      <c r="W105" s="52" t="s">
        <v>69</v>
      </c>
      <c r="X105" s="52"/>
      <c r="Y105" s="52"/>
      <c r="Z105" s="52"/>
      <c r="AA105" s="6"/>
      <c r="AB105" s="6"/>
      <c r="AC105" s="6"/>
    </row>
    <row r="106" spans="1:29" ht="14.5" customHeight="1" x14ac:dyDescent="0.35">
      <c r="A106" s="20" t="s">
        <v>119</v>
      </c>
      <c r="B106" s="14"/>
      <c r="C106" s="6"/>
      <c r="D106" s="20" t="s">
        <v>119</v>
      </c>
      <c r="E106" s="14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36" t="s">
        <v>73</v>
      </c>
      <c r="S106" s="36" t="s">
        <v>9</v>
      </c>
      <c r="T106" s="36" t="s">
        <v>70</v>
      </c>
      <c r="U106" s="36" t="s">
        <v>74</v>
      </c>
      <c r="V106" s="6"/>
      <c r="W106" s="10" t="s">
        <v>75</v>
      </c>
      <c r="X106" s="10" t="s">
        <v>76</v>
      </c>
      <c r="Y106" s="10" t="s">
        <v>57</v>
      </c>
      <c r="Z106" s="10" t="s">
        <v>58</v>
      </c>
      <c r="AA106" s="6"/>
      <c r="AB106" s="6"/>
      <c r="AC106" s="6"/>
    </row>
    <row r="107" spans="1:29" x14ac:dyDescent="0.35">
      <c r="A107" s="20" t="s">
        <v>121</v>
      </c>
      <c r="B107" s="14"/>
      <c r="C107" s="6"/>
      <c r="D107" s="20" t="s">
        <v>121</v>
      </c>
      <c r="E107" s="14"/>
      <c r="F107" s="6"/>
      <c r="G107" s="6"/>
      <c r="H107" s="6"/>
      <c r="I107" s="6"/>
      <c r="J107" s="6"/>
      <c r="K107" s="6"/>
      <c r="L107" s="6"/>
      <c r="M107" s="6"/>
      <c r="N107" s="52" t="s">
        <v>67</v>
      </c>
      <c r="O107" s="52"/>
      <c r="P107" s="52"/>
      <c r="Q107" s="6"/>
      <c r="R107" s="39"/>
      <c r="S107" s="40"/>
      <c r="T107" s="41"/>
      <c r="U107" s="42"/>
      <c r="V107" s="6"/>
      <c r="W107" s="39"/>
      <c r="X107" s="21"/>
      <c r="Y107" s="21"/>
      <c r="Z107" s="21"/>
      <c r="AA107" s="6"/>
      <c r="AB107" s="6"/>
      <c r="AC107" s="6"/>
    </row>
    <row r="108" spans="1:29" ht="15" customHeight="1" x14ac:dyDescent="0.35">
      <c r="A108" s="20" t="s">
        <v>122</v>
      </c>
      <c r="B108" s="14"/>
      <c r="C108" s="6"/>
      <c r="D108" s="20" t="s">
        <v>122</v>
      </c>
      <c r="E108" s="14"/>
      <c r="F108" s="6"/>
      <c r="G108" s="6"/>
      <c r="H108" s="6"/>
      <c r="I108" s="6"/>
      <c r="J108" s="6"/>
      <c r="K108" s="6"/>
      <c r="L108" s="6"/>
      <c r="M108" s="6"/>
      <c r="N108" s="10" t="s">
        <v>70</v>
      </c>
      <c r="O108" s="10" t="s">
        <v>71</v>
      </c>
      <c r="P108" s="10" t="s">
        <v>72</v>
      </c>
      <c r="Q108" s="6"/>
      <c r="R108" s="39"/>
      <c r="S108" s="40"/>
      <c r="T108" s="41"/>
      <c r="U108" s="42"/>
      <c r="V108" s="6"/>
      <c r="W108" s="39"/>
      <c r="X108" s="14"/>
      <c r="Y108" s="14"/>
      <c r="Z108" s="14"/>
      <c r="AA108" s="6"/>
      <c r="AB108" s="6"/>
      <c r="AC108" s="6"/>
    </row>
    <row r="109" spans="1:29" x14ac:dyDescent="0.35">
      <c r="A109" s="28" t="s">
        <v>123</v>
      </c>
      <c r="B109" s="14"/>
      <c r="C109" s="6"/>
      <c r="D109" s="28" t="s">
        <v>123</v>
      </c>
      <c r="E109" s="14"/>
      <c r="F109" s="6"/>
      <c r="G109" s="6"/>
      <c r="H109" s="6"/>
      <c r="I109" s="6"/>
      <c r="J109" s="6"/>
      <c r="K109" s="6"/>
      <c r="L109" s="6"/>
      <c r="M109" s="6"/>
      <c r="N109" s="20" t="s">
        <v>118</v>
      </c>
      <c r="O109" s="37">
        <f>COUNTIF(T107:T117,N109)</f>
        <v>0</v>
      </c>
      <c r="P109" s="38"/>
      <c r="Q109" s="6"/>
      <c r="R109" s="39"/>
      <c r="S109" s="40"/>
      <c r="T109" s="41"/>
      <c r="U109" s="42"/>
      <c r="V109" s="6"/>
      <c r="W109" s="39"/>
      <c r="X109" s="14"/>
      <c r="Y109" s="14"/>
      <c r="Z109" s="14"/>
      <c r="AA109" s="6"/>
      <c r="AB109" s="6"/>
      <c r="AC109" s="6"/>
    </row>
    <row r="110" spans="1:29" x14ac:dyDescent="0.35">
      <c r="A110" s="13" t="s">
        <v>124</v>
      </c>
      <c r="B110" s="14"/>
      <c r="C110" s="6"/>
      <c r="D110" s="13" t="s">
        <v>124</v>
      </c>
      <c r="E110" s="14"/>
      <c r="F110" s="6"/>
      <c r="G110" s="6"/>
      <c r="H110" s="6"/>
      <c r="I110" s="6"/>
      <c r="J110" s="6"/>
      <c r="K110" s="6"/>
      <c r="L110" s="6"/>
      <c r="M110" s="6"/>
      <c r="N110" s="20" t="s">
        <v>120</v>
      </c>
      <c r="O110" s="37">
        <f>COUNTIF(S107:S117,N110)</f>
        <v>0</v>
      </c>
      <c r="P110" s="38"/>
      <c r="Q110" s="6"/>
      <c r="R110" s="39"/>
      <c r="S110" s="40"/>
      <c r="T110" s="41"/>
      <c r="U110" s="42"/>
      <c r="V110" s="6"/>
      <c r="W110" s="39"/>
      <c r="X110" s="14"/>
      <c r="Y110" s="14"/>
      <c r="Z110" s="14"/>
      <c r="AA110" s="6"/>
      <c r="AB110" s="6"/>
      <c r="AC110" s="6"/>
    </row>
    <row r="111" spans="1:29" x14ac:dyDescent="0.35">
      <c r="A111" s="13" t="s">
        <v>125</v>
      </c>
      <c r="B111" s="14"/>
      <c r="C111" s="6"/>
      <c r="D111" s="13" t="s">
        <v>125</v>
      </c>
      <c r="E111" s="14"/>
      <c r="F111" s="6"/>
      <c r="G111" s="6"/>
      <c r="H111" s="6"/>
      <c r="I111" s="6"/>
      <c r="J111" s="6"/>
      <c r="K111" s="6"/>
      <c r="L111" s="6"/>
      <c r="M111" s="6"/>
      <c r="N111" s="22" t="s">
        <v>36</v>
      </c>
      <c r="O111" s="23">
        <f>SUM(O109:O110)</f>
        <v>0</v>
      </c>
      <c r="P111" s="44" t="e">
        <f ca="1">AVERAGE(P109:P111)</f>
        <v>#DIV/0!</v>
      </c>
      <c r="Q111" s="6"/>
      <c r="R111" s="39"/>
      <c r="S111" s="40"/>
      <c r="T111" s="41"/>
      <c r="U111" s="42"/>
      <c r="V111" s="6"/>
      <c r="W111" s="39"/>
      <c r="X111" s="14"/>
      <c r="Y111" s="14"/>
      <c r="Z111" s="14"/>
      <c r="AA111" s="6"/>
      <c r="AB111" s="6"/>
      <c r="AC111" s="6"/>
    </row>
    <row r="112" spans="1:29" x14ac:dyDescent="0.35">
      <c r="A112" s="13" t="s">
        <v>126</v>
      </c>
      <c r="B112" s="14"/>
      <c r="C112" s="6"/>
      <c r="D112" s="13" t="s">
        <v>126</v>
      </c>
      <c r="E112" s="14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39"/>
      <c r="S112" s="40"/>
      <c r="T112" s="41"/>
      <c r="U112" s="42"/>
      <c r="V112" s="6"/>
      <c r="W112" s="39"/>
      <c r="X112" s="14"/>
      <c r="Y112" s="14"/>
      <c r="Z112" s="14"/>
      <c r="AA112" s="6"/>
      <c r="AB112" s="6"/>
      <c r="AC112" s="6"/>
    </row>
    <row r="113" spans="1:30" x14ac:dyDescent="0.35">
      <c r="A113" s="13" t="s">
        <v>127</v>
      </c>
      <c r="B113" s="14"/>
      <c r="C113" s="6"/>
      <c r="D113" s="13" t="s">
        <v>127</v>
      </c>
      <c r="E113" s="14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39"/>
      <c r="S113" s="40"/>
      <c r="T113" s="41"/>
      <c r="U113" s="42"/>
      <c r="V113" s="6"/>
      <c r="W113" s="39"/>
      <c r="X113" s="14"/>
      <c r="Y113" s="14"/>
      <c r="Z113" s="14"/>
      <c r="AA113" s="6"/>
      <c r="AB113" s="6"/>
      <c r="AC113" s="6"/>
    </row>
    <row r="114" spans="1:30" x14ac:dyDescent="0.35">
      <c r="A114" s="13" t="s">
        <v>128</v>
      </c>
      <c r="B114" s="14"/>
      <c r="C114" s="6"/>
      <c r="D114" s="13" t="s">
        <v>128</v>
      </c>
      <c r="E114" s="14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39"/>
      <c r="S114" s="40"/>
      <c r="T114" s="28"/>
      <c r="U114" s="42"/>
      <c r="V114" s="6"/>
      <c r="W114" s="39"/>
      <c r="X114" s="14"/>
      <c r="Y114" s="14"/>
      <c r="Z114" s="14"/>
      <c r="AA114" s="6"/>
      <c r="AB114" s="6"/>
      <c r="AC114" s="6"/>
    </row>
    <row r="115" spans="1:30" x14ac:dyDescent="0.35">
      <c r="A115" s="13" t="s">
        <v>29</v>
      </c>
      <c r="B115" s="14"/>
      <c r="C115" s="6"/>
      <c r="D115" s="13" t="s">
        <v>29</v>
      </c>
      <c r="E115" s="14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39"/>
      <c r="S115" s="40"/>
      <c r="T115" s="41"/>
      <c r="U115" s="42"/>
      <c r="V115" s="6"/>
      <c r="W115" s="39"/>
      <c r="X115" s="14"/>
      <c r="Y115" s="14"/>
      <c r="Z115" s="14"/>
      <c r="AA115" s="6"/>
      <c r="AB115" s="6"/>
      <c r="AC115" s="6"/>
    </row>
    <row r="116" spans="1:30" x14ac:dyDescent="0.35">
      <c r="A116" s="13" t="s">
        <v>129</v>
      </c>
      <c r="B116" s="14"/>
      <c r="C116" s="6"/>
      <c r="D116" s="13" t="s">
        <v>129</v>
      </c>
      <c r="E116" s="14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39"/>
      <c r="S116" s="40"/>
      <c r="T116" s="41"/>
      <c r="U116" s="42"/>
      <c r="V116" s="6"/>
      <c r="W116" s="39"/>
      <c r="X116" s="14"/>
      <c r="Y116" s="14"/>
      <c r="Z116" s="14"/>
      <c r="AA116" s="6"/>
      <c r="AB116" s="6"/>
      <c r="AC116" s="6"/>
    </row>
    <row r="117" spans="1:30" x14ac:dyDescent="0.35">
      <c r="A117" s="13" t="s">
        <v>130</v>
      </c>
      <c r="B117" s="14"/>
      <c r="C117" s="6"/>
      <c r="D117" s="13" t="s">
        <v>130</v>
      </c>
      <c r="E117" s="14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39"/>
      <c r="S117" s="40"/>
      <c r="T117" s="41"/>
      <c r="U117" s="42"/>
      <c r="V117" s="6"/>
      <c r="W117" s="39"/>
      <c r="X117" s="14"/>
      <c r="Y117" s="14"/>
      <c r="Z117" s="14"/>
      <c r="AA117" s="6"/>
      <c r="AB117" s="6"/>
      <c r="AC117" s="6"/>
    </row>
    <row r="118" spans="1:30" x14ac:dyDescent="0.35">
      <c r="A118" s="13" t="s">
        <v>131</v>
      </c>
      <c r="B118" s="14"/>
      <c r="C118" s="6"/>
      <c r="D118" s="13" t="s">
        <v>131</v>
      </c>
      <c r="E118" s="14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49" t="s">
        <v>36</v>
      </c>
      <c r="X118" s="50">
        <f>SUM(X107:X117)</f>
        <v>0</v>
      </c>
      <c r="Y118" s="50">
        <f>SUM(Y107:Y117)</f>
        <v>0</v>
      </c>
      <c r="Z118" s="50">
        <f>SUM(Z107:Z117)</f>
        <v>0</v>
      </c>
      <c r="AA118" s="6"/>
      <c r="AB118" s="6"/>
      <c r="AC118" s="6"/>
    </row>
    <row r="119" spans="1:30" x14ac:dyDescent="0.35">
      <c r="A119" s="13" t="s">
        <v>132</v>
      </c>
      <c r="B119" s="14"/>
      <c r="C119" s="6"/>
      <c r="D119" s="13" t="s">
        <v>132</v>
      </c>
      <c r="E119" s="14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x14ac:dyDescent="0.35">
      <c r="A120" s="13" t="s">
        <v>133</v>
      </c>
      <c r="B120" s="14"/>
      <c r="C120" s="6"/>
      <c r="D120" s="13" t="s">
        <v>133</v>
      </c>
      <c r="E120" s="14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x14ac:dyDescent="0.35">
      <c r="A121" s="6"/>
      <c r="B121" s="66">
        <f>SUMPRODUCT(B105:B120)</f>
        <v>0</v>
      </c>
      <c r="C121" s="6"/>
      <c r="E121" s="66">
        <f>SUMPRODUCT(E105:E120)</f>
        <v>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</sheetData>
  <mergeCells count="12">
    <mergeCell ref="A1:C1"/>
    <mergeCell ref="A3:E3"/>
    <mergeCell ref="F3:J3"/>
    <mergeCell ref="A4:G4"/>
    <mergeCell ref="A69:E69"/>
    <mergeCell ref="R104:Z104"/>
    <mergeCell ref="A103:E103"/>
    <mergeCell ref="Q4:Y4"/>
    <mergeCell ref="A5:E5"/>
    <mergeCell ref="R37:Z37"/>
    <mergeCell ref="A38:E38"/>
    <mergeCell ref="T68:X68"/>
  </mergeCells>
  <dataValidations count="1">
    <dataValidation type="list" allowBlank="1" sqref="T107:T117 T7:T14 T40:T50 T71:T81" xr:uid="{E755DB09-C925-4DD5-8088-74F1811D2FD1}">
      <formula1>"Eusebio, Vitoria de SA"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Entrantes e Habilitados</vt:lpstr>
      <vt:lpstr>Venda Direta</vt:lpstr>
      <vt:lpstr>Leilão - Macro</vt:lpstr>
      <vt:lpstr>Leilão - Sudeste</vt:lpstr>
      <vt:lpstr>Leilão - Sul</vt:lpstr>
      <vt:lpstr>Leilão - Centro Oeste</vt:lpstr>
      <vt:lpstr>Leilão - Norte e Nordeste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Victoria Oliveira</cp:lastModifiedBy>
  <cp:revision>5</cp:revision>
  <dcterms:created xsi:type="dcterms:W3CDTF">2026-08-07T15:11:17Z</dcterms:created>
  <dcterms:modified xsi:type="dcterms:W3CDTF">2026-09-15T13:20:38Z</dcterms:modified>
  <cp:category/>
  <cp:contentStatus/>
</cp:coreProperties>
</file>